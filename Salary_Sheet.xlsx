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9B917EDF-E879-467F-81A1-31CDEBEA2D58}" xr6:coauthVersionLast="47" xr6:coauthVersionMax="47" xr10:uidLastSave="{00000000-0000-0000-0000-000000000000}"/>
  <bookViews>
    <workbookView xWindow="-110" yWindow="-110" windowWidth="19420" windowHeight="10420" xr2:uid="{64EF0082-FC6A-430C-B7B8-E5E5C19E13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63" i="1" l="1"/>
  <c r="F63" i="1"/>
  <c r="E63" i="1"/>
  <c r="I57" i="1"/>
  <c r="L57" i="1" s="1"/>
  <c r="H57" i="1"/>
  <c r="I56" i="1"/>
  <c r="H56" i="1"/>
  <c r="I55" i="1"/>
  <c r="M55" i="1" s="1"/>
  <c r="H55" i="1"/>
  <c r="I54" i="1"/>
  <c r="M54" i="1" s="1"/>
  <c r="H54" i="1"/>
  <c r="I53" i="1"/>
  <c r="L53" i="1" s="1"/>
  <c r="H53" i="1"/>
  <c r="I52" i="1"/>
  <c r="H52" i="1"/>
  <c r="I51" i="1"/>
  <c r="M51" i="1" s="1"/>
  <c r="H51" i="1"/>
  <c r="I50" i="1"/>
  <c r="M50" i="1" s="1"/>
  <c r="H50" i="1"/>
  <c r="I49" i="1"/>
  <c r="L49" i="1" s="1"/>
  <c r="H49" i="1"/>
  <c r="I48" i="1"/>
  <c r="H48" i="1"/>
  <c r="I47" i="1"/>
  <c r="M47" i="1" s="1"/>
  <c r="H47" i="1"/>
  <c r="I46" i="1"/>
  <c r="M46" i="1" s="1"/>
  <c r="H46" i="1"/>
  <c r="I45" i="1"/>
  <c r="L45" i="1" s="1"/>
  <c r="H45" i="1"/>
  <c r="I44" i="1"/>
  <c r="H44" i="1"/>
  <c r="I43" i="1"/>
  <c r="M43" i="1" s="1"/>
  <c r="H43" i="1"/>
  <c r="I42" i="1"/>
  <c r="M42" i="1" s="1"/>
  <c r="H42" i="1"/>
  <c r="I41" i="1"/>
  <c r="L41" i="1" s="1"/>
  <c r="L63" i="1" s="1"/>
  <c r="H41" i="1"/>
  <c r="H63" i="1" s="1"/>
  <c r="I40" i="1"/>
  <c r="H40" i="1"/>
  <c r="I39" i="1"/>
  <c r="M39" i="1" s="1"/>
  <c r="H39" i="1"/>
  <c r="I38" i="1"/>
  <c r="M38" i="1" s="1"/>
  <c r="H38" i="1"/>
  <c r="I37" i="1"/>
  <c r="L37" i="1" s="1"/>
  <c r="H37" i="1"/>
  <c r="I36" i="1"/>
  <c r="H36" i="1"/>
  <c r="I35" i="1"/>
  <c r="M35" i="1" s="1"/>
  <c r="H35" i="1"/>
  <c r="I34" i="1"/>
  <c r="M34" i="1" s="1"/>
  <c r="H34" i="1"/>
  <c r="I33" i="1"/>
  <c r="L33" i="1" s="1"/>
  <c r="H33" i="1"/>
  <c r="I32" i="1"/>
  <c r="H32" i="1"/>
  <c r="I31" i="1"/>
  <c r="M31" i="1" s="1"/>
  <c r="H31" i="1"/>
  <c r="I30" i="1"/>
  <c r="M30" i="1" s="1"/>
  <c r="H30" i="1"/>
  <c r="I29" i="1"/>
  <c r="L29" i="1" s="1"/>
  <c r="H29" i="1"/>
  <c r="I28" i="1"/>
  <c r="H28" i="1"/>
  <c r="I27" i="1"/>
  <c r="M27" i="1" s="1"/>
  <c r="H27" i="1"/>
  <c r="I26" i="1"/>
  <c r="M26" i="1" s="1"/>
  <c r="H26" i="1"/>
  <c r="I25" i="1"/>
  <c r="L25" i="1" s="1"/>
  <c r="H25" i="1"/>
  <c r="I24" i="1"/>
  <c r="H24" i="1"/>
  <c r="I23" i="1"/>
  <c r="N23" i="1" s="1"/>
  <c r="H23" i="1"/>
  <c r="I22" i="1"/>
  <c r="M22" i="1" s="1"/>
  <c r="H22" i="1"/>
  <c r="I21" i="1"/>
  <c r="L21" i="1" s="1"/>
  <c r="H21" i="1"/>
  <c r="I20" i="1"/>
  <c r="H20" i="1"/>
  <c r="I19" i="1"/>
  <c r="N19" i="1" s="1"/>
  <c r="H19" i="1"/>
  <c r="I18" i="1"/>
  <c r="M18" i="1" s="1"/>
  <c r="H18" i="1"/>
  <c r="I17" i="1"/>
  <c r="L17" i="1" s="1"/>
  <c r="H17" i="1"/>
  <c r="I16" i="1"/>
  <c r="H16" i="1"/>
  <c r="I15" i="1"/>
  <c r="N15" i="1" s="1"/>
  <c r="H15" i="1"/>
  <c r="I14" i="1"/>
  <c r="M14" i="1" s="1"/>
  <c r="H14" i="1"/>
  <c r="I13" i="1"/>
  <c r="L13" i="1" s="1"/>
  <c r="H13" i="1"/>
  <c r="I12" i="1"/>
  <c r="H12" i="1"/>
  <c r="I11" i="1"/>
  <c r="N11" i="1" s="1"/>
  <c r="H11" i="1"/>
  <c r="I10" i="1"/>
  <c r="M10" i="1" s="1"/>
  <c r="H10" i="1"/>
  <c r="I9" i="1"/>
  <c r="L9" i="1" s="1"/>
  <c r="H9" i="1"/>
  <c r="I8" i="1"/>
  <c r="H8" i="1"/>
  <c r="N55" i="1" l="1"/>
  <c r="N17" i="1"/>
  <c r="K30" i="1"/>
  <c r="J29" i="1"/>
  <c r="K35" i="1"/>
  <c r="N29" i="1"/>
  <c r="J39" i="1"/>
  <c r="J13" i="1"/>
  <c r="N21" i="1"/>
  <c r="L39" i="1"/>
  <c r="J9" i="1"/>
  <c r="L19" i="1"/>
  <c r="N13" i="1"/>
  <c r="K27" i="1"/>
  <c r="N33" i="1"/>
  <c r="J41" i="1"/>
  <c r="J63" i="1" s="1"/>
  <c r="K9" i="1"/>
  <c r="L15" i="1"/>
  <c r="J23" i="1"/>
  <c r="L27" i="1"/>
  <c r="K31" i="1"/>
  <c r="K34" i="1"/>
  <c r="N37" i="1"/>
  <c r="J43" i="1"/>
  <c r="K46" i="1"/>
  <c r="N9" i="1"/>
  <c r="L23" i="1"/>
  <c r="L43" i="1"/>
  <c r="J27" i="1"/>
  <c r="N51" i="1"/>
  <c r="K10" i="1"/>
  <c r="L11" i="1"/>
  <c r="J25" i="1"/>
  <c r="K26" i="1"/>
  <c r="L31" i="1"/>
  <c r="L35" i="1"/>
  <c r="N39" i="1"/>
  <c r="K42" i="1"/>
  <c r="K43" i="1"/>
  <c r="J47" i="1"/>
  <c r="J51" i="1"/>
  <c r="J55" i="1"/>
  <c r="L10" i="1"/>
  <c r="N25" i="1"/>
  <c r="N31" i="1"/>
  <c r="N35" i="1"/>
  <c r="K47" i="1"/>
  <c r="K51" i="1"/>
  <c r="K55" i="1"/>
  <c r="N47" i="1"/>
  <c r="K13" i="1"/>
  <c r="K14" i="1"/>
  <c r="J17" i="1"/>
  <c r="K18" i="1"/>
  <c r="J21" i="1"/>
  <c r="K22" i="1"/>
  <c r="K23" i="1"/>
  <c r="N27" i="1"/>
  <c r="J31" i="1"/>
  <c r="J33" i="1"/>
  <c r="J34" i="1"/>
  <c r="J35" i="1"/>
  <c r="J37" i="1"/>
  <c r="K38" i="1"/>
  <c r="K39" i="1"/>
  <c r="N43" i="1"/>
  <c r="L47" i="1"/>
  <c r="L51" i="1"/>
  <c r="L55" i="1"/>
  <c r="L8" i="1"/>
  <c r="M9" i="1"/>
  <c r="J10" i="1"/>
  <c r="N10" i="1"/>
  <c r="K11" i="1"/>
  <c r="L12" i="1"/>
  <c r="M13" i="1"/>
  <c r="J14" i="1"/>
  <c r="N14" i="1"/>
  <c r="K15" i="1"/>
  <c r="L16" i="1"/>
  <c r="M17" i="1"/>
  <c r="J18" i="1"/>
  <c r="N18" i="1"/>
  <c r="K19" i="1"/>
  <c r="L20" i="1"/>
  <c r="M21" i="1"/>
  <c r="J22" i="1"/>
  <c r="N22" i="1"/>
  <c r="L24" i="1"/>
  <c r="M25" i="1"/>
  <c r="J26" i="1"/>
  <c r="N26" i="1"/>
  <c r="L28" i="1"/>
  <c r="M29" i="1"/>
  <c r="J30" i="1"/>
  <c r="N30" i="1"/>
  <c r="L32" i="1"/>
  <c r="M33" i="1"/>
  <c r="N34" i="1"/>
  <c r="L36" i="1"/>
  <c r="M37" i="1"/>
  <c r="J38" i="1"/>
  <c r="N38" i="1"/>
  <c r="L40" i="1"/>
  <c r="M41" i="1"/>
  <c r="M63" i="1" s="1"/>
  <c r="J42" i="1"/>
  <c r="N42" i="1"/>
  <c r="L44" i="1"/>
  <c r="M45" i="1"/>
  <c r="J46" i="1"/>
  <c r="N46" i="1"/>
  <c r="L48" i="1"/>
  <c r="M49" i="1"/>
  <c r="J50" i="1"/>
  <c r="N50" i="1"/>
  <c r="L52" i="1"/>
  <c r="M53" i="1"/>
  <c r="J54" i="1"/>
  <c r="N54" i="1"/>
  <c r="L56" i="1"/>
  <c r="M57" i="1"/>
  <c r="M8" i="1"/>
  <c r="M12" i="1"/>
  <c r="M16" i="1"/>
  <c r="M20" i="1"/>
  <c r="M24" i="1"/>
  <c r="M28" i="1"/>
  <c r="M32" i="1"/>
  <c r="M36" i="1"/>
  <c r="M40" i="1"/>
  <c r="N41" i="1"/>
  <c r="N63" i="1" s="1"/>
  <c r="M44" i="1"/>
  <c r="J45" i="1"/>
  <c r="N45" i="1"/>
  <c r="M48" i="1"/>
  <c r="J49" i="1"/>
  <c r="N49" i="1"/>
  <c r="K50" i="1"/>
  <c r="M52" i="1"/>
  <c r="J53" i="1"/>
  <c r="N53" i="1"/>
  <c r="K54" i="1"/>
  <c r="M56" i="1"/>
  <c r="J57" i="1"/>
  <c r="N57" i="1"/>
  <c r="J8" i="1"/>
  <c r="N8" i="1"/>
  <c r="M11" i="1"/>
  <c r="J12" i="1"/>
  <c r="N12" i="1"/>
  <c r="L14" i="1"/>
  <c r="M15" i="1"/>
  <c r="J16" i="1"/>
  <c r="N16" i="1"/>
  <c r="K17" i="1"/>
  <c r="L18" i="1"/>
  <c r="M19" i="1"/>
  <c r="J20" i="1"/>
  <c r="N20" i="1"/>
  <c r="K21" i="1"/>
  <c r="L22" i="1"/>
  <c r="M23" i="1"/>
  <c r="J24" i="1"/>
  <c r="N24" i="1"/>
  <c r="K25" i="1"/>
  <c r="L26" i="1"/>
  <c r="J28" i="1"/>
  <c r="N28" i="1"/>
  <c r="K29" i="1"/>
  <c r="L30" i="1"/>
  <c r="J32" i="1"/>
  <c r="N32" i="1"/>
  <c r="K33" i="1"/>
  <c r="L34" i="1"/>
  <c r="J36" i="1"/>
  <c r="N36" i="1"/>
  <c r="K37" i="1"/>
  <c r="L38" i="1"/>
  <c r="J40" i="1"/>
  <c r="N40" i="1"/>
  <c r="K41" i="1"/>
  <c r="K63" i="1" s="1"/>
  <c r="L42" i="1"/>
  <c r="J44" i="1"/>
  <c r="N44" i="1"/>
  <c r="K45" i="1"/>
  <c r="L46" i="1"/>
  <c r="J48" i="1"/>
  <c r="N48" i="1"/>
  <c r="K49" i="1"/>
  <c r="L50" i="1"/>
  <c r="J52" i="1"/>
  <c r="N52" i="1"/>
  <c r="K53" i="1"/>
  <c r="L54" i="1"/>
  <c r="J56" i="1"/>
  <c r="N56" i="1"/>
  <c r="K57" i="1"/>
  <c r="I63" i="1"/>
  <c r="K8" i="1"/>
  <c r="J11" i="1"/>
  <c r="K12" i="1"/>
  <c r="J15" i="1"/>
  <c r="K16" i="1"/>
  <c r="J19" i="1"/>
  <c r="K20" i="1"/>
  <c r="K24" i="1"/>
  <c r="K28" i="1"/>
  <c r="K32" i="1"/>
  <c r="K36" i="1"/>
  <c r="K40" i="1"/>
  <c r="K44" i="1"/>
  <c r="K48" i="1"/>
  <c r="K52" i="1"/>
  <c r="K56" i="1"/>
  <c r="O37" i="1" l="1"/>
  <c r="P37" i="1" s="1"/>
  <c r="Q37" i="1" s="1"/>
  <c r="R37" i="1" s="1"/>
  <c r="O27" i="1"/>
  <c r="P27" i="1" s="1"/>
  <c r="Q27" i="1" s="1"/>
  <c r="R27" i="1" s="1"/>
  <c r="O19" i="1"/>
  <c r="P19" i="1" s="1"/>
  <c r="Q19" i="1" s="1"/>
  <c r="R19" i="1" s="1"/>
  <c r="O17" i="1"/>
  <c r="P17" i="1" s="1"/>
  <c r="Q17" i="1" s="1"/>
  <c r="R17" i="1" s="1"/>
  <c r="O9" i="1"/>
  <c r="P9" i="1" s="1"/>
  <c r="Q9" i="1" s="1"/>
  <c r="R9" i="1" s="1"/>
  <c r="O51" i="1"/>
  <c r="P51" i="1" s="1"/>
  <c r="Q51" i="1" s="1"/>
  <c r="R51" i="1" s="1"/>
  <c r="O15" i="1"/>
  <c r="P15" i="1" s="1"/>
  <c r="Q15" i="1" s="1"/>
  <c r="R15" i="1" s="1"/>
  <c r="O23" i="1"/>
  <c r="P23" i="1" s="1"/>
  <c r="Q23" i="1" s="1"/>
  <c r="R23" i="1" s="1"/>
  <c r="O31" i="1"/>
  <c r="P31" i="1" s="1"/>
  <c r="Q31" i="1" s="1"/>
  <c r="R31" i="1" s="1"/>
  <c r="O55" i="1"/>
  <c r="P55" i="1" s="1"/>
  <c r="Q55" i="1" s="1"/>
  <c r="R55" i="1" s="1"/>
  <c r="O57" i="1"/>
  <c r="P57" i="1" s="1"/>
  <c r="Q57" i="1" s="1"/>
  <c r="R57" i="1" s="1"/>
  <c r="O45" i="1"/>
  <c r="P45" i="1" s="1"/>
  <c r="Q45" i="1" s="1"/>
  <c r="R45" i="1" s="1"/>
  <c r="O34" i="1"/>
  <c r="P34" i="1" s="1"/>
  <c r="Q34" i="1" s="1"/>
  <c r="R34" i="1" s="1"/>
  <c r="O54" i="1"/>
  <c r="P54" i="1" s="1"/>
  <c r="Q54" i="1" s="1"/>
  <c r="R54" i="1" s="1"/>
  <c r="O39" i="1"/>
  <c r="P39" i="1" s="1"/>
  <c r="Q39" i="1" s="1"/>
  <c r="R39" i="1" s="1"/>
  <c r="O47" i="1"/>
  <c r="P47" i="1" s="1"/>
  <c r="Q47" i="1" s="1"/>
  <c r="R47" i="1" s="1"/>
  <c r="O11" i="1"/>
  <c r="P11" i="1" s="1"/>
  <c r="Q11" i="1" s="1"/>
  <c r="R11" i="1" s="1"/>
  <c r="O33" i="1"/>
  <c r="P33" i="1" s="1"/>
  <c r="Q33" i="1" s="1"/>
  <c r="R33" i="1" s="1"/>
  <c r="O29" i="1"/>
  <c r="P29" i="1" s="1"/>
  <c r="Q29" i="1" s="1"/>
  <c r="R29" i="1" s="1"/>
  <c r="O25" i="1"/>
  <c r="P25" i="1" s="1"/>
  <c r="Q25" i="1" s="1"/>
  <c r="R25" i="1" s="1"/>
  <c r="O43" i="1"/>
  <c r="P43" i="1" s="1"/>
  <c r="Q43" i="1" s="1"/>
  <c r="R43" i="1" s="1"/>
  <c r="O35" i="1"/>
  <c r="P35" i="1" s="1"/>
  <c r="Q35" i="1" s="1"/>
  <c r="R35" i="1" s="1"/>
  <c r="O44" i="1"/>
  <c r="P44" i="1" s="1"/>
  <c r="Q44" i="1" s="1"/>
  <c r="R44" i="1" s="1"/>
  <c r="O21" i="1"/>
  <c r="P21" i="1" s="1"/>
  <c r="Q21" i="1" s="1"/>
  <c r="R21" i="1" s="1"/>
  <c r="O13" i="1"/>
  <c r="P13" i="1" s="1"/>
  <c r="Q13" i="1" s="1"/>
  <c r="R13" i="1" s="1"/>
  <c r="O46" i="1"/>
  <c r="P46" i="1" s="1"/>
  <c r="Q46" i="1" s="1"/>
  <c r="R46" i="1" s="1"/>
  <c r="O56" i="1"/>
  <c r="P56" i="1" s="1"/>
  <c r="Q56" i="1" s="1"/>
  <c r="R56" i="1" s="1"/>
  <c r="O52" i="1"/>
  <c r="P52" i="1" s="1"/>
  <c r="Q52" i="1" s="1"/>
  <c r="R52" i="1" s="1"/>
  <c r="O48" i="1"/>
  <c r="P48" i="1" s="1"/>
  <c r="Q48" i="1" s="1"/>
  <c r="R48" i="1" s="1"/>
  <c r="O20" i="1"/>
  <c r="P20" i="1" s="1"/>
  <c r="Q20" i="1" s="1"/>
  <c r="R20" i="1" s="1"/>
  <c r="O8" i="1"/>
  <c r="P8" i="1" s="1"/>
  <c r="Q8" i="1" s="1"/>
  <c r="R8" i="1" s="1"/>
  <c r="O40" i="1"/>
  <c r="P40" i="1" s="1"/>
  <c r="Q40" i="1" s="1"/>
  <c r="R40" i="1" s="1"/>
  <c r="O16" i="1"/>
  <c r="P16" i="1" s="1"/>
  <c r="Q16" i="1" s="1"/>
  <c r="R16" i="1" s="1"/>
  <c r="O12" i="1"/>
  <c r="P12" i="1" s="1"/>
  <c r="Q12" i="1" s="1"/>
  <c r="R12" i="1" s="1"/>
  <c r="O50" i="1"/>
  <c r="P50" i="1" s="1"/>
  <c r="Q50" i="1" s="1"/>
  <c r="R50" i="1" s="1"/>
  <c r="O36" i="1"/>
  <c r="P36" i="1" s="1"/>
  <c r="Q36" i="1" s="1"/>
  <c r="R36" i="1" s="1"/>
  <c r="O32" i="1"/>
  <c r="P32" i="1" s="1"/>
  <c r="Q32" i="1" s="1"/>
  <c r="R32" i="1" s="1"/>
  <c r="O28" i="1"/>
  <c r="P28" i="1" s="1"/>
  <c r="Q28" i="1" s="1"/>
  <c r="R28" i="1" s="1"/>
  <c r="O24" i="1"/>
  <c r="P24" i="1" s="1"/>
  <c r="Q24" i="1" s="1"/>
  <c r="R24" i="1" s="1"/>
  <c r="O49" i="1"/>
  <c r="P49" i="1" s="1"/>
  <c r="Q49" i="1" s="1"/>
  <c r="R49" i="1" s="1"/>
  <c r="O53" i="1"/>
  <c r="P53" i="1" s="1"/>
  <c r="Q53" i="1" s="1"/>
  <c r="R53" i="1" s="1"/>
  <c r="O41" i="1"/>
  <c r="O18" i="1"/>
  <c r="P18" i="1" s="1"/>
  <c r="O10" i="1"/>
  <c r="P10" i="1" s="1"/>
  <c r="O30" i="1"/>
  <c r="P30" i="1" s="1"/>
  <c r="O26" i="1"/>
  <c r="P26" i="1" s="1"/>
  <c r="O42" i="1"/>
  <c r="P42" i="1" s="1"/>
  <c r="O38" i="1"/>
  <c r="P38" i="1" s="1"/>
  <c r="O22" i="1"/>
  <c r="P22" i="1" s="1"/>
  <c r="O14" i="1"/>
  <c r="P14" i="1" s="1"/>
  <c r="Q42" i="1" l="1"/>
  <c r="R42" i="1" s="1"/>
  <c r="Q30" i="1"/>
  <c r="R30" i="1" s="1"/>
  <c r="Q14" i="1"/>
  <c r="R14" i="1" s="1"/>
  <c r="Q10" i="1"/>
  <c r="R10" i="1" s="1"/>
  <c r="Q18" i="1"/>
  <c r="R18" i="1" s="1"/>
  <c r="Q22" i="1"/>
  <c r="R22" i="1" s="1"/>
  <c r="Q38" i="1"/>
  <c r="R38" i="1" s="1"/>
  <c r="Q26" i="1"/>
  <c r="R26" i="1" s="1"/>
  <c r="P41" i="1"/>
  <c r="O63" i="1"/>
  <c r="P63" i="1" l="1"/>
  <c r="Q41" i="1"/>
  <c r="Q63" i="1" s="1"/>
  <c r="R41" i="1" l="1"/>
  <c r="R63" i="1" s="1"/>
</calcChain>
</file>

<file path=xl/sharedStrings.xml><?xml version="1.0" encoding="utf-8"?>
<sst xmlns="http://schemas.openxmlformats.org/spreadsheetml/2006/main" count="183" uniqueCount="78">
  <si>
    <t>Emp ID</t>
  </si>
  <si>
    <t>Emp Name</t>
  </si>
  <si>
    <t>Deptt</t>
  </si>
  <si>
    <t>Designation</t>
  </si>
  <si>
    <t>BPS</t>
  </si>
  <si>
    <t>Basic
Salary</t>
  </si>
  <si>
    <t>House Rent 
Allownce</t>
  </si>
  <si>
    <t>Travelling
Allownce</t>
  </si>
  <si>
    <t>Medical
Allownce</t>
  </si>
  <si>
    <t>Utility
Allownce</t>
  </si>
  <si>
    <t>Entertainment
Allownce</t>
  </si>
  <si>
    <t>Gross
Salary</t>
  </si>
  <si>
    <t>Annual Salary</t>
  </si>
  <si>
    <t>Tax</t>
  </si>
  <si>
    <t>Net
Salary</t>
  </si>
  <si>
    <t>Salary Sheet for the Month of Jan</t>
  </si>
  <si>
    <t>Sr no</t>
  </si>
  <si>
    <t xml:space="preserve">  </t>
  </si>
  <si>
    <t>Mr. Pervaiz</t>
  </si>
  <si>
    <t>IT</t>
  </si>
  <si>
    <t>Manager</t>
  </si>
  <si>
    <t>Mr.Aqeel</t>
  </si>
  <si>
    <t xml:space="preserve"> CEO</t>
  </si>
  <si>
    <t>Mr.Hanzala</t>
  </si>
  <si>
    <t>General  Manager</t>
  </si>
  <si>
    <t>Mr.Usman</t>
  </si>
  <si>
    <t>Cleaner</t>
  </si>
  <si>
    <t>Mr.Shakeel</t>
  </si>
  <si>
    <t>Cook</t>
  </si>
  <si>
    <t>Mr.Umair</t>
  </si>
  <si>
    <t>Cook Supervisor</t>
  </si>
  <si>
    <t>Mr.Umar</t>
  </si>
  <si>
    <t>Security</t>
  </si>
  <si>
    <t>Mr.Ali</t>
  </si>
  <si>
    <t>Supervisor</t>
  </si>
  <si>
    <t>Mr.Hamdan</t>
  </si>
  <si>
    <t>Mr.Abu Bakr</t>
  </si>
  <si>
    <t>General worker</t>
  </si>
  <si>
    <t>Mr.Roshaan</t>
  </si>
  <si>
    <t>Mr.Talha</t>
  </si>
  <si>
    <t>Tech</t>
  </si>
  <si>
    <t>Mr.Shahzaib</t>
  </si>
  <si>
    <t>Mr.Usama</t>
  </si>
  <si>
    <t>Ali</t>
  </si>
  <si>
    <t>Worker</t>
  </si>
  <si>
    <t>Hamza</t>
  </si>
  <si>
    <t>Umair</t>
  </si>
  <si>
    <t>Hanzala</t>
  </si>
  <si>
    <t>Umar</t>
  </si>
  <si>
    <t>kaleem</t>
  </si>
  <si>
    <t>Abdullah</t>
  </si>
  <si>
    <t>Uzair</t>
  </si>
  <si>
    <t>Sales</t>
  </si>
  <si>
    <t>Mudasir</t>
  </si>
  <si>
    <t>Mubashir</t>
  </si>
  <si>
    <t>Hadi</t>
  </si>
  <si>
    <t>A .Rehman</t>
  </si>
  <si>
    <t>Safiq</t>
  </si>
  <si>
    <t>Yasir</t>
  </si>
  <si>
    <t>Shahid</t>
  </si>
  <si>
    <t>Kaleem</t>
  </si>
  <si>
    <t>Saleem</t>
  </si>
  <si>
    <t>Naseem</t>
  </si>
  <si>
    <t>Shameem</t>
  </si>
  <si>
    <t>Muhammad</t>
  </si>
  <si>
    <t>Jamal</t>
  </si>
  <si>
    <t>Adad</t>
  </si>
  <si>
    <t>Taimoor</t>
  </si>
  <si>
    <t>Shan</t>
  </si>
  <si>
    <t>Jameel</t>
  </si>
  <si>
    <t>Health</t>
  </si>
  <si>
    <t>Farooq</t>
  </si>
  <si>
    <t>Usman</t>
  </si>
  <si>
    <t>Rehan</t>
  </si>
  <si>
    <t>Hamdan</t>
  </si>
  <si>
    <t>Ramzan</t>
  </si>
  <si>
    <t>Roshan</t>
  </si>
  <si>
    <t>Latif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</si>
</sst>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Arial Unicode MS"/>
      <family val="2"/>
    </font>
    <font>
      <sz val="11"/>
      <color theme="6" tint="0.79998168889431442"/>
      <name val="Calibri"/>
      <family val="2"/>
      <scheme val="minor"/>
    </font>
    <font>
      <sz val="18"/>
      <color theme="6" tint="0.79998168889431442"/>
      <name val="Arial Black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" fontId="0" fillId="0" borderId="0" xfId="0" applyNumberFormat="1"/>
    <xf numFmtId="0" fontId="3" fillId="3" borderId="0" xfId="0" applyFont="1" applyFill="1"/>
    <xf numFmtId="0" fontId="4" fillId="3" borderId="0" xfId="0" applyFont="1" applyFill="1" applyAlignment="1">
      <alignment horizontal="center"/>
    </xf>
    <xf numFmtId="0" fontId="1" fillId="4" borderId="2" xfId="0" applyFont="1" applyFill="1" applyBorder="1" applyAlignment="1">
      <alignment horizontal="left" vertical="center"/>
    </xf>
    <xf numFmtId="0" fontId="0" fillId="4" borderId="2" xfId="0" applyFill="1" applyBorder="1" applyAlignment="1">
      <alignment horizontal="left" vertical="center"/>
    </xf>
    <xf numFmtId="0" fontId="0" fillId="4" borderId="1" xfId="0" applyFill="1" applyBorder="1"/>
    <xf numFmtId="1" fontId="0" fillId="4" borderId="1" xfId="0" applyNumberFormat="1" applyFill="1" applyBorder="1"/>
    <xf numFmtId="0" fontId="1" fillId="4" borderId="1" xfId="0" applyFont="1" applyFill="1" applyBorder="1" applyAlignment="1">
      <alignment horizontal="left" vertical="center"/>
    </xf>
    <xf numFmtId="0" fontId="0" fillId="4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53414-F7EB-4DB5-A00E-FA5CBAA3979D}">
  <sheetPr>
    <pageSetUpPr fitToPage="1"/>
  </sheetPr>
  <dimension ref="B5:U63"/>
  <sheetViews>
    <sheetView tabSelected="1" topLeftCell="A52" workbookViewId="0">
      <selection activeCell="G63" sqref="G63"/>
    </sheetView>
  </sheetViews>
  <sheetFormatPr defaultRowHeight="14.5"/>
  <cols>
    <col min="3" max="3" width="5" bestFit="1" customWidth="1"/>
    <col min="4" max="4" width="6.54296875" bestFit="1" customWidth="1"/>
    <col min="5" max="5" width="11.36328125" bestFit="1" customWidth="1"/>
    <col min="6" max="6" width="7.08984375" bestFit="1" customWidth="1"/>
    <col min="7" max="7" width="15.81640625" bestFit="1" customWidth="1"/>
    <col min="8" max="8" width="5.453125" customWidth="1"/>
  </cols>
  <sheetData>
    <row r="5" spans="2:21" ht="28">
      <c r="B5" s="4"/>
      <c r="C5" s="5" t="s">
        <v>15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4"/>
      <c r="Q5" s="4"/>
      <c r="R5" s="4"/>
      <c r="S5" s="4"/>
      <c r="T5" s="4"/>
      <c r="U5" s="4"/>
    </row>
    <row r="7" spans="2:21" ht="34.5">
      <c r="C7" s="1" t="s">
        <v>16</v>
      </c>
      <c r="D7" s="1" t="s">
        <v>0</v>
      </c>
      <c r="E7" s="1" t="s">
        <v>1</v>
      </c>
      <c r="F7" s="1" t="s">
        <v>2</v>
      </c>
      <c r="G7" s="1" t="s">
        <v>3</v>
      </c>
      <c r="H7" s="1" t="s">
        <v>4</v>
      </c>
      <c r="I7" s="2" t="s">
        <v>5</v>
      </c>
      <c r="J7" s="2" t="s">
        <v>6</v>
      </c>
      <c r="K7" s="2" t="s">
        <v>7</v>
      </c>
      <c r="L7" s="2" t="s">
        <v>8</v>
      </c>
      <c r="M7" s="2" t="s">
        <v>9</v>
      </c>
      <c r="N7" s="2" t="s">
        <v>10</v>
      </c>
      <c r="O7" s="2" t="s">
        <v>11</v>
      </c>
      <c r="P7" s="2" t="s">
        <v>12</v>
      </c>
      <c r="Q7" s="2" t="s">
        <v>13</v>
      </c>
      <c r="R7" s="2" t="s">
        <v>14</v>
      </c>
      <c r="S7" t="s">
        <v>17</v>
      </c>
    </row>
    <row r="8" spans="2:21">
      <c r="C8" s="6">
        <v>1</v>
      </c>
      <c r="D8" s="7">
        <v>8569</v>
      </c>
      <c r="E8" s="7" t="s">
        <v>18</v>
      </c>
      <c r="F8" s="7" t="s">
        <v>19</v>
      </c>
      <c r="G8" s="7" t="s">
        <v>20</v>
      </c>
      <c r="H8" s="8">
        <f ca="1">RANDBETWEEN(5,15)</f>
        <v>5</v>
      </c>
      <c r="I8" s="8">
        <f ca="1">RANDBETWEEN(70000,150000)</f>
        <v>72548</v>
      </c>
      <c r="J8" s="9">
        <f ca="1">I8*2%</f>
        <v>1450.96</v>
      </c>
      <c r="K8" s="9">
        <f ca="1">I8*5%</f>
        <v>3627.4</v>
      </c>
      <c r="L8" s="9">
        <f ca="1">I8*9%</f>
        <v>6529.32</v>
      </c>
      <c r="M8" s="9">
        <f ca="1">I8*10%</f>
        <v>7254.8</v>
      </c>
      <c r="N8" s="9">
        <f ca="1">I8*12%</f>
        <v>8705.76</v>
      </c>
      <c r="O8" s="9">
        <f ca="1">I8-J8-K8-L8-M8-N8</f>
        <v>44979.759999999995</v>
      </c>
      <c r="P8" s="9">
        <f ca="1">O8*12</f>
        <v>539757.11999999988</v>
      </c>
      <c r="Q8" s="9">
        <f ca="1">IF(P8&gt;=400000,2%*P8,"N/A")</f>
        <v>10795.142399999997</v>
      </c>
      <c r="R8" s="9">
        <f ca="1">P8-Q8</f>
        <v>528961.97759999987</v>
      </c>
    </row>
    <row r="9" spans="2:21">
      <c r="C9" s="10">
        <v>2</v>
      </c>
      <c r="D9" s="11">
        <v>4564</v>
      </c>
      <c r="E9" s="11" t="s">
        <v>21</v>
      </c>
      <c r="F9" s="7" t="s">
        <v>19</v>
      </c>
      <c r="G9" s="11" t="s">
        <v>22</v>
      </c>
      <c r="H9" s="8">
        <f t="shared" ref="H9:H57" ca="1" si="0">RANDBETWEEN(5,15)</f>
        <v>6</v>
      </c>
      <c r="I9" s="8">
        <f t="shared" ref="I9:I57" ca="1" si="1">RANDBETWEEN(70000,150000)</f>
        <v>101693</v>
      </c>
      <c r="J9" s="9">
        <f t="shared" ref="J9:J57" ca="1" si="2">I9*2%</f>
        <v>2033.8600000000001</v>
      </c>
      <c r="K9" s="9">
        <f t="shared" ref="K9:K57" ca="1" si="3">I9*5%</f>
        <v>5084.6500000000005</v>
      </c>
      <c r="L9" s="9">
        <f t="shared" ref="L9:L57" ca="1" si="4">I9*9%</f>
        <v>9152.369999999999</v>
      </c>
      <c r="M9" s="9">
        <f t="shared" ref="M9:M57" ca="1" si="5">I9*10%</f>
        <v>10169.300000000001</v>
      </c>
      <c r="N9" s="9">
        <f t="shared" ref="N9:N57" ca="1" si="6">I9*12%</f>
        <v>12203.16</v>
      </c>
      <c r="O9" s="9">
        <f t="shared" ref="O9:O57" ca="1" si="7">I9-J9-K9-L9-M9-N9</f>
        <v>63049.66</v>
      </c>
      <c r="P9" s="9">
        <f t="shared" ref="P9:P57" ca="1" si="8">O9*12</f>
        <v>756595.92</v>
      </c>
      <c r="Q9" s="9">
        <f t="shared" ref="Q9:Q57" ca="1" si="9">IF(P9&gt;=400000,2%*P9,"N/A")</f>
        <v>15131.9184</v>
      </c>
      <c r="R9" s="9">
        <f t="shared" ref="R9:R57" ca="1" si="10">P9-Q9</f>
        <v>741464.00160000008</v>
      </c>
    </row>
    <row r="10" spans="2:21">
      <c r="C10" s="10">
        <v>3</v>
      </c>
      <c r="D10" s="11">
        <v>5434</v>
      </c>
      <c r="E10" s="11" t="s">
        <v>23</v>
      </c>
      <c r="F10" s="7" t="s">
        <v>19</v>
      </c>
      <c r="G10" s="11" t="s">
        <v>24</v>
      </c>
      <c r="H10" s="8">
        <f t="shared" ca="1" si="0"/>
        <v>8</v>
      </c>
      <c r="I10" s="8">
        <f t="shared" ca="1" si="1"/>
        <v>135999</v>
      </c>
      <c r="J10" s="9">
        <f t="shared" ca="1" si="2"/>
        <v>2719.98</v>
      </c>
      <c r="K10" s="9">
        <f t="shared" ca="1" si="3"/>
        <v>6799.9500000000007</v>
      </c>
      <c r="L10" s="9">
        <f t="shared" ca="1" si="4"/>
        <v>12239.91</v>
      </c>
      <c r="M10" s="9">
        <f t="shared" ca="1" si="5"/>
        <v>13599.900000000001</v>
      </c>
      <c r="N10" s="9">
        <f t="shared" ca="1" si="6"/>
        <v>16319.88</v>
      </c>
      <c r="O10" s="9">
        <f t="shared" ca="1" si="7"/>
        <v>84319.379999999976</v>
      </c>
      <c r="P10" s="9">
        <f t="shared" ca="1" si="8"/>
        <v>1011832.5599999997</v>
      </c>
      <c r="Q10" s="9">
        <f t="shared" ca="1" si="9"/>
        <v>20236.651199999993</v>
      </c>
      <c r="R10" s="9">
        <f t="shared" ca="1" si="10"/>
        <v>991595.90879999974</v>
      </c>
    </row>
    <row r="11" spans="2:21">
      <c r="C11" s="10">
        <v>4</v>
      </c>
      <c r="D11" s="11">
        <v>2343</v>
      </c>
      <c r="E11" s="11" t="s">
        <v>25</v>
      </c>
      <c r="F11" s="7" t="s">
        <v>19</v>
      </c>
      <c r="G11" s="11" t="s">
        <v>26</v>
      </c>
      <c r="H11" s="8">
        <f t="shared" ca="1" si="0"/>
        <v>15</v>
      </c>
      <c r="I11" s="8">
        <f t="shared" ca="1" si="1"/>
        <v>90150</v>
      </c>
      <c r="J11" s="9">
        <f t="shared" ca="1" si="2"/>
        <v>1803</v>
      </c>
      <c r="K11" s="9">
        <f t="shared" ca="1" si="3"/>
        <v>4507.5</v>
      </c>
      <c r="L11" s="9">
        <f t="shared" ca="1" si="4"/>
        <v>8113.5</v>
      </c>
      <c r="M11" s="9">
        <f t="shared" ca="1" si="5"/>
        <v>9015</v>
      </c>
      <c r="N11" s="9">
        <f t="shared" ca="1" si="6"/>
        <v>10818</v>
      </c>
      <c r="O11" s="9">
        <f t="shared" ca="1" si="7"/>
        <v>55893</v>
      </c>
      <c r="P11" s="9">
        <f t="shared" ca="1" si="8"/>
        <v>670716</v>
      </c>
      <c r="Q11" s="9">
        <f t="shared" ca="1" si="9"/>
        <v>13414.32</v>
      </c>
      <c r="R11" s="9">
        <f t="shared" ca="1" si="10"/>
        <v>657301.68000000005</v>
      </c>
    </row>
    <row r="12" spans="2:21">
      <c r="C12" s="10">
        <v>5</v>
      </c>
      <c r="D12" s="11">
        <v>3433</v>
      </c>
      <c r="E12" s="11" t="s">
        <v>27</v>
      </c>
      <c r="F12" s="7" t="s">
        <v>19</v>
      </c>
      <c r="G12" s="12" t="s">
        <v>28</v>
      </c>
      <c r="H12" s="8">
        <f t="shared" ca="1" si="0"/>
        <v>11</v>
      </c>
      <c r="I12" s="8">
        <f t="shared" ca="1" si="1"/>
        <v>134020</v>
      </c>
      <c r="J12" s="9">
        <f t="shared" ca="1" si="2"/>
        <v>2680.4</v>
      </c>
      <c r="K12" s="9">
        <f t="shared" ca="1" si="3"/>
        <v>6701</v>
      </c>
      <c r="L12" s="9">
        <f t="shared" ca="1" si="4"/>
        <v>12061.8</v>
      </c>
      <c r="M12" s="9">
        <f t="shared" ca="1" si="5"/>
        <v>13402</v>
      </c>
      <c r="N12" s="9">
        <f t="shared" ca="1" si="6"/>
        <v>16082.4</v>
      </c>
      <c r="O12" s="9">
        <f t="shared" ca="1" si="7"/>
        <v>83092.400000000009</v>
      </c>
      <c r="P12" s="9">
        <f t="shared" ca="1" si="8"/>
        <v>997108.8</v>
      </c>
      <c r="Q12" s="9">
        <f t="shared" ca="1" si="9"/>
        <v>19942.176000000003</v>
      </c>
      <c r="R12" s="9">
        <f t="shared" ca="1" si="10"/>
        <v>977166.62400000007</v>
      </c>
    </row>
    <row r="13" spans="2:21">
      <c r="C13" s="10">
        <v>6</v>
      </c>
      <c r="D13" s="11">
        <v>5444</v>
      </c>
      <c r="E13" s="11" t="s">
        <v>29</v>
      </c>
      <c r="F13" s="7" t="s">
        <v>19</v>
      </c>
      <c r="G13" s="12" t="s">
        <v>30</v>
      </c>
      <c r="H13" s="8">
        <f t="shared" ca="1" si="0"/>
        <v>13</v>
      </c>
      <c r="I13" s="8">
        <f t="shared" ca="1" si="1"/>
        <v>133514</v>
      </c>
      <c r="J13" s="9">
        <f t="shared" ca="1" si="2"/>
        <v>2670.28</v>
      </c>
      <c r="K13" s="9">
        <f t="shared" ca="1" si="3"/>
        <v>6675.7000000000007</v>
      </c>
      <c r="L13" s="9">
        <f t="shared" ca="1" si="4"/>
        <v>12016.26</v>
      </c>
      <c r="M13" s="9">
        <f t="shared" ca="1" si="5"/>
        <v>13351.400000000001</v>
      </c>
      <c r="N13" s="9">
        <f t="shared" ca="1" si="6"/>
        <v>16021.68</v>
      </c>
      <c r="O13" s="9">
        <f t="shared" ca="1" si="7"/>
        <v>82778.680000000022</v>
      </c>
      <c r="P13" s="9">
        <f t="shared" ca="1" si="8"/>
        <v>993344.16000000027</v>
      </c>
      <c r="Q13" s="9">
        <f t="shared" ca="1" si="9"/>
        <v>19866.883200000007</v>
      </c>
      <c r="R13" s="9">
        <f t="shared" ca="1" si="10"/>
        <v>973477.27680000023</v>
      </c>
    </row>
    <row r="14" spans="2:21">
      <c r="C14" s="10">
        <v>7</v>
      </c>
      <c r="D14" s="11">
        <v>4355</v>
      </c>
      <c r="E14" s="11" t="s">
        <v>31</v>
      </c>
      <c r="F14" s="7" t="s">
        <v>19</v>
      </c>
      <c r="G14" s="11" t="s">
        <v>32</v>
      </c>
      <c r="H14" s="8">
        <f t="shared" ca="1" si="0"/>
        <v>5</v>
      </c>
      <c r="I14" s="8">
        <f t="shared" ca="1" si="1"/>
        <v>95298</v>
      </c>
      <c r="J14" s="9">
        <f t="shared" ca="1" si="2"/>
        <v>1905.96</v>
      </c>
      <c r="K14" s="9">
        <f t="shared" ca="1" si="3"/>
        <v>4764.9000000000005</v>
      </c>
      <c r="L14" s="9">
        <f t="shared" ca="1" si="4"/>
        <v>8576.82</v>
      </c>
      <c r="M14" s="9">
        <f t="shared" ca="1" si="5"/>
        <v>9529.8000000000011</v>
      </c>
      <c r="N14" s="9">
        <f t="shared" ca="1" si="6"/>
        <v>11435.76</v>
      </c>
      <c r="O14" s="9">
        <f t="shared" ca="1" si="7"/>
        <v>59084.76</v>
      </c>
      <c r="P14" s="9">
        <f t="shared" ca="1" si="8"/>
        <v>709017.12</v>
      </c>
      <c r="Q14" s="9">
        <f t="shared" ca="1" si="9"/>
        <v>14180.3424</v>
      </c>
      <c r="R14" s="9">
        <f t="shared" ca="1" si="10"/>
        <v>694836.77760000003</v>
      </c>
    </row>
    <row r="15" spans="2:21">
      <c r="C15" s="10">
        <v>8</v>
      </c>
      <c r="D15" s="11">
        <v>6655</v>
      </c>
      <c r="E15" s="11" t="s">
        <v>33</v>
      </c>
      <c r="F15" s="7" t="s">
        <v>19</v>
      </c>
      <c r="G15" s="11" t="s">
        <v>34</v>
      </c>
      <c r="H15" s="8">
        <f t="shared" ca="1" si="0"/>
        <v>13</v>
      </c>
      <c r="I15" s="8">
        <f t="shared" ca="1" si="1"/>
        <v>88015</v>
      </c>
      <c r="J15" s="9">
        <f t="shared" ca="1" si="2"/>
        <v>1760.3</v>
      </c>
      <c r="K15" s="9">
        <f t="shared" ca="1" si="3"/>
        <v>4400.75</v>
      </c>
      <c r="L15" s="9">
        <f t="shared" ca="1" si="4"/>
        <v>7921.3499999999995</v>
      </c>
      <c r="M15" s="9">
        <f t="shared" ca="1" si="5"/>
        <v>8801.5</v>
      </c>
      <c r="N15" s="9">
        <f t="shared" ca="1" si="6"/>
        <v>10561.8</v>
      </c>
      <c r="O15" s="9">
        <f t="shared" ca="1" si="7"/>
        <v>54569.299999999988</v>
      </c>
      <c r="P15" s="9">
        <f t="shared" ca="1" si="8"/>
        <v>654831.59999999986</v>
      </c>
      <c r="Q15" s="9">
        <f t="shared" ca="1" si="9"/>
        <v>13096.631999999998</v>
      </c>
      <c r="R15" s="9">
        <f t="shared" ca="1" si="10"/>
        <v>641734.96799999988</v>
      </c>
    </row>
    <row r="16" spans="2:21">
      <c r="C16" s="10">
        <v>9</v>
      </c>
      <c r="D16" s="11">
        <v>6766</v>
      </c>
      <c r="E16" s="11" t="s">
        <v>35</v>
      </c>
      <c r="F16" s="7" t="s">
        <v>19</v>
      </c>
      <c r="G16" s="11" t="s">
        <v>24</v>
      </c>
      <c r="H16" s="8">
        <f t="shared" ca="1" si="0"/>
        <v>10</v>
      </c>
      <c r="I16" s="8">
        <f t="shared" ca="1" si="1"/>
        <v>116317</v>
      </c>
      <c r="J16" s="9">
        <f t="shared" ca="1" si="2"/>
        <v>2326.34</v>
      </c>
      <c r="K16" s="9">
        <f t="shared" ca="1" si="3"/>
        <v>5815.85</v>
      </c>
      <c r="L16" s="9">
        <f t="shared" ca="1" si="4"/>
        <v>10468.529999999999</v>
      </c>
      <c r="M16" s="9">
        <f t="shared" ca="1" si="5"/>
        <v>11631.7</v>
      </c>
      <c r="N16" s="9">
        <f t="shared" ca="1" si="6"/>
        <v>13958.039999999999</v>
      </c>
      <c r="O16" s="9">
        <f t="shared" ca="1" si="7"/>
        <v>72116.540000000008</v>
      </c>
      <c r="P16" s="9">
        <f t="shared" ca="1" si="8"/>
        <v>865398.4800000001</v>
      </c>
      <c r="Q16" s="9">
        <f t="shared" ca="1" si="9"/>
        <v>17307.969600000004</v>
      </c>
      <c r="R16" s="9">
        <f t="shared" ca="1" si="10"/>
        <v>848090.51040000014</v>
      </c>
    </row>
    <row r="17" spans="3:18">
      <c r="C17" s="10">
        <v>10</v>
      </c>
      <c r="D17" s="11">
        <v>4555</v>
      </c>
      <c r="E17" s="11" t="s">
        <v>25</v>
      </c>
      <c r="F17" s="7" t="s">
        <v>19</v>
      </c>
      <c r="G17" s="8" t="s">
        <v>34</v>
      </c>
      <c r="H17" s="8">
        <f t="shared" ca="1" si="0"/>
        <v>5</v>
      </c>
      <c r="I17" s="8">
        <f t="shared" ca="1" si="1"/>
        <v>134078</v>
      </c>
      <c r="J17" s="9">
        <f t="shared" ca="1" si="2"/>
        <v>2681.56</v>
      </c>
      <c r="K17" s="9">
        <f t="shared" ca="1" si="3"/>
        <v>6703.9000000000005</v>
      </c>
      <c r="L17" s="9">
        <f t="shared" ca="1" si="4"/>
        <v>12067.02</v>
      </c>
      <c r="M17" s="9">
        <f t="shared" ca="1" si="5"/>
        <v>13407.800000000001</v>
      </c>
      <c r="N17" s="9">
        <f t="shared" ca="1" si="6"/>
        <v>16089.359999999999</v>
      </c>
      <c r="O17" s="9">
        <f t="shared" ca="1" si="7"/>
        <v>83128.36</v>
      </c>
      <c r="P17" s="9">
        <f t="shared" ca="1" si="8"/>
        <v>997540.32000000007</v>
      </c>
      <c r="Q17" s="9">
        <f t="shared" ca="1" si="9"/>
        <v>19950.806400000001</v>
      </c>
      <c r="R17" s="9">
        <f t="shared" ca="1" si="10"/>
        <v>977589.51360000006</v>
      </c>
    </row>
    <row r="18" spans="3:18">
      <c r="C18" s="10">
        <v>11</v>
      </c>
      <c r="D18" s="11">
        <v>4344</v>
      </c>
      <c r="E18" s="11" t="s">
        <v>36</v>
      </c>
      <c r="F18" s="7" t="s">
        <v>19</v>
      </c>
      <c r="G18" s="12" t="s">
        <v>37</v>
      </c>
      <c r="H18" s="8">
        <f t="shared" ca="1" si="0"/>
        <v>8</v>
      </c>
      <c r="I18" s="8">
        <f t="shared" ca="1" si="1"/>
        <v>95493</v>
      </c>
      <c r="J18" s="9">
        <f t="shared" ca="1" si="2"/>
        <v>1909.8600000000001</v>
      </c>
      <c r="K18" s="9">
        <f t="shared" ca="1" si="3"/>
        <v>4774.6500000000005</v>
      </c>
      <c r="L18" s="9">
        <f t="shared" ca="1" si="4"/>
        <v>8594.369999999999</v>
      </c>
      <c r="M18" s="9">
        <f t="shared" ca="1" si="5"/>
        <v>9549.3000000000011</v>
      </c>
      <c r="N18" s="9">
        <f t="shared" ca="1" si="6"/>
        <v>11459.16</v>
      </c>
      <c r="O18" s="9">
        <f t="shared" ca="1" si="7"/>
        <v>59205.66</v>
      </c>
      <c r="P18" s="9">
        <f t="shared" ca="1" si="8"/>
        <v>710467.92</v>
      </c>
      <c r="Q18" s="9">
        <f t="shared" ca="1" si="9"/>
        <v>14209.358400000001</v>
      </c>
      <c r="R18" s="9">
        <f t="shared" ca="1" si="10"/>
        <v>696258.56160000002</v>
      </c>
    </row>
    <row r="19" spans="3:18">
      <c r="C19" s="10">
        <v>12</v>
      </c>
      <c r="D19" s="11">
        <v>6544</v>
      </c>
      <c r="E19" s="11" t="s">
        <v>38</v>
      </c>
      <c r="F19" s="7" t="s">
        <v>19</v>
      </c>
      <c r="G19" s="8" t="s">
        <v>34</v>
      </c>
      <c r="H19" s="8">
        <f t="shared" ca="1" si="0"/>
        <v>8</v>
      </c>
      <c r="I19" s="8">
        <f t="shared" ca="1" si="1"/>
        <v>143445</v>
      </c>
      <c r="J19" s="9">
        <f t="shared" ca="1" si="2"/>
        <v>2868.9</v>
      </c>
      <c r="K19" s="9">
        <f t="shared" ca="1" si="3"/>
        <v>7172.25</v>
      </c>
      <c r="L19" s="9">
        <f t="shared" ca="1" si="4"/>
        <v>12910.05</v>
      </c>
      <c r="M19" s="9">
        <f t="shared" ca="1" si="5"/>
        <v>14344.5</v>
      </c>
      <c r="N19" s="9">
        <f t="shared" ca="1" si="6"/>
        <v>17213.399999999998</v>
      </c>
      <c r="O19" s="9">
        <f t="shared" ca="1" si="7"/>
        <v>88935.900000000009</v>
      </c>
      <c r="P19" s="9">
        <f t="shared" ca="1" si="8"/>
        <v>1067230.8</v>
      </c>
      <c r="Q19" s="9">
        <f t="shared" ca="1" si="9"/>
        <v>21344.616000000002</v>
      </c>
      <c r="R19" s="9">
        <f t="shared" ca="1" si="10"/>
        <v>1045886.184</v>
      </c>
    </row>
    <row r="20" spans="3:18">
      <c r="C20" s="10">
        <v>13</v>
      </c>
      <c r="D20" s="11">
        <v>3456</v>
      </c>
      <c r="E20" s="11" t="s">
        <v>39</v>
      </c>
      <c r="F20" s="11" t="s">
        <v>40</v>
      </c>
      <c r="G20" s="11" t="s">
        <v>26</v>
      </c>
      <c r="H20" s="8">
        <f t="shared" ca="1" si="0"/>
        <v>11</v>
      </c>
      <c r="I20" s="8">
        <f t="shared" ca="1" si="1"/>
        <v>85332</v>
      </c>
      <c r="J20" s="9">
        <f t="shared" ca="1" si="2"/>
        <v>1706.64</v>
      </c>
      <c r="K20" s="9">
        <f t="shared" ca="1" si="3"/>
        <v>4266.6000000000004</v>
      </c>
      <c r="L20" s="9">
        <f t="shared" ca="1" si="4"/>
        <v>7679.88</v>
      </c>
      <c r="M20" s="9">
        <f t="shared" ca="1" si="5"/>
        <v>8533.2000000000007</v>
      </c>
      <c r="N20" s="9">
        <f t="shared" ca="1" si="6"/>
        <v>10239.84</v>
      </c>
      <c r="O20" s="9">
        <f t="shared" ca="1" si="7"/>
        <v>52905.84</v>
      </c>
      <c r="P20" s="9">
        <f t="shared" ca="1" si="8"/>
        <v>634870.07999999996</v>
      </c>
      <c r="Q20" s="9">
        <f t="shared" ca="1" si="9"/>
        <v>12697.401599999999</v>
      </c>
      <c r="R20" s="9">
        <f t="shared" ca="1" si="10"/>
        <v>622172.67839999998</v>
      </c>
    </row>
    <row r="21" spans="3:18">
      <c r="C21" s="10">
        <v>14</v>
      </c>
      <c r="D21" s="11">
        <v>7877</v>
      </c>
      <c r="E21" s="11" t="s">
        <v>41</v>
      </c>
      <c r="F21" s="11" t="s">
        <v>40</v>
      </c>
      <c r="G21" s="8" t="s">
        <v>34</v>
      </c>
      <c r="H21" s="8">
        <f t="shared" ca="1" si="0"/>
        <v>7</v>
      </c>
      <c r="I21" s="8">
        <f t="shared" ca="1" si="1"/>
        <v>142562</v>
      </c>
      <c r="J21" s="9">
        <f t="shared" ca="1" si="2"/>
        <v>2851.2400000000002</v>
      </c>
      <c r="K21" s="9">
        <f t="shared" ca="1" si="3"/>
        <v>7128.1</v>
      </c>
      <c r="L21" s="9">
        <f t="shared" ca="1" si="4"/>
        <v>12830.58</v>
      </c>
      <c r="M21" s="9">
        <f t="shared" ca="1" si="5"/>
        <v>14256.2</v>
      </c>
      <c r="N21" s="9">
        <f t="shared" ca="1" si="6"/>
        <v>17107.439999999999</v>
      </c>
      <c r="O21" s="9">
        <f t="shared" ca="1" si="7"/>
        <v>88388.44</v>
      </c>
      <c r="P21" s="9">
        <f t="shared" ca="1" si="8"/>
        <v>1060661.28</v>
      </c>
      <c r="Q21" s="9">
        <f t="shared" ca="1" si="9"/>
        <v>21213.225600000002</v>
      </c>
      <c r="R21" s="9">
        <f t="shared" ca="1" si="10"/>
        <v>1039448.0544</v>
      </c>
    </row>
    <row r="22" spans="3:18">
      <c r="C22" s="10">
        <v>15</v>
      </c>
      <c r="D22" s="11">
        <v>7878</v>
      </c>
      <c r="E22" s="8" t="s">
        <v>42</v>
      </c>
      <c r="F22" s="11" t="s">
        <v>40</v>
      </c>
      <c r="G22" s="12" t="s">
        <v>37</v>
      </c>
      <c r="H22" s="8">
        <f t="shared" ca="1" si="0"/>
        <v>9</v>
      </c>
      <c r="I22" s="8">
        <f t="shared" ca="1" si="1"/>
        <v>78190</v>
      </c>
      <c r="J22" s="9">
        <f t="shared" ca="1" si="2"/>
        <v>1563.8</v>
      </c>
      <c r="K22" s="9">
        <f t="shared" ca="1" si="3"/>
        <v>3909.5</v>
      </c>
      <c r="L22" s="9">
        <f t="shared" ca="1" si="4"/>
        <v>7037.0999999999995</v>
      </c>
      <c r="M22" s="9">
        <f t="shared" ca="1" si="5"/>
        <v>7819</v>
      </c>
      <c r="N22" s="9">
        <f t="shared" ca="1" si="6"/>
        <v>9382.7999999999993</v>
      </c>
      <c r="O22" s="9">
        <f t="shared" ca="1" si="7"/>
        <v>48477.799999999988</v>
      </c>
      <c r="P22" s="9">
        <f t="shared" ca="1" si="8"/>
        <v>581733.59999999986</v>
      </c>
      <c r="Q22" s="9">
        <f t="shared" ca="1" si="9"/>
        <v>11634.671999999997</v>
      </c>
      <c r="R22" s="9">
        <f t="shared" ca="1" si="10"/>
        <v>570098.92799999984</v>
      </c>
    </row>
    <row r="23" spans="3:18">
      <c r="C23" s="10">
        <v>16</v>
      </c>
      <c r="D23" s="11">
        <v>7879</v>
      </c>
      <c r="E23" s="8" t="s">
        <v>43</v>
      </c>
      <c r="F23" s="11" t="s">
        <v>40</v>
      </c>
      <c r="G23" s="8" t="s">
        <v>44</v>
      </c>
      <c r="H23" s="8">
        <f t="shared" ca="1" si="0"/>
        <v>14</v>
      </c>
      <c r="I23" s="8">
        <f t="shared" ca="1" si="1"/>
        <v>114060</v>
      </c>
      <c r="J23" s="9">
        <f t="shared" ca="1" si="2"/>
        <v>2281.2000000000003</v>
      </c>
      <c r="K23" s="9">
        <f t="shared" ca="1" si="3"/>
        <v>5703</v>
      </c>
      <c r="L23" s="9">
        <f t="shared" ca="1" si="4"/>
        <v>10265.4</v>
      </c>
      <c r="M23" s="9">
        <f t="shared" ca="1" si="5"/>
        <v>11406</v>
      </c>
      <c r="N23" s="9">
        <f t="shared" ca="1" si="6"/>
        <v>13687.199999999999</v>
      </c>
      <c r="O23" s="9">
        <f t="shared" ca="1" si="7"/>
        <v>70717.200000000012</v>
      </c>
      <c r="P23" s="9">
        <f t="shared" ca="1" si="8"/>
        <v>848606.40000000014</v>
      </c>
      <c r="Q23" s="9">
        <f t="shared" ca="1" si="9"/>
        <v>16972.128000000004</v>
      </c>
      <c r="R23" s="9">
        <f t="shared" ca="1" si="10"/>
        <v>831634.27200000011</v>
      </c>
    </row>
    <row r="24" spans="3:18">
      <c r="C24" s="10">
        <v>17</v>
      </c>
      <c r="D24" s="11">
        <v>7880</v>
      </c>
      <c r="E24" s="8" t="s">
        <v>45</v>
      </c>
      <c r="F24" s="11" t="s">
        <v>40</v>
      </c>
      <c r="G24" s="8" t="s">
        <v>37</v>
      </c>
      <c r="H24" s="8">
        <f t="shared" ca="1" si="0"/>
        <v>11</v>
      </c>
      <c r="I24" s="8">
        <f t="shared" ca="1" si="1"/>
        <v>92413</v>
      </c>
      <c r="J24" s="9">
        <f t="shared" ca="1" si="2"/>
        <v>1848.26</v>
      </c>
      <c r="K24" s="9">
        <f t="shared" ca="1" si="3"/>
        <v>4620.6500000000005</v>
      </c>
      <c r="L24" s="9">
        <f t="shared" ca="1" si="4"/>
        <v>8317.17</v>
      </c>
      <c r="M24" s="9">
        <f t="shared" ca="1" si="5"/>
        <v>9241.3000000000011</v>
      </c>
      <c r="N24" s="9">
        <f t="shared" ca="1" si="6"/>
        <v>11089.56</v>
      </c>
      <c r="O24" s="9">
        <f t="shared" ca="1" si="7"/>
        <v>57296.060000000012</v>
      </c>
      <c r="P24" s="9">
        <f t="shared" ca="1" si="8"/>
        <v>687552.7200000002</v>
      </c>
      <c r="Q24" s="9">
        <f t="shared" ca="1" si="9"/>
        <v>13751.054400000005</v>
      </c>
      <c r="R24" s="9">
        <f t="shared" ca="1" si="10"/>
        <v>673801.66560000018</v>
      </c>
    </row>
    <row r="25" spans="3:18">
      <c r="C25" s="10">
        <v>18</v>
      </c>
      <c r="D25" s="11">
        <v>7881</v>
      </c>
      <c r="E25" s="8" t="s">
        <v>46</v>
      </c>
      <c r="F25" s="11" t="s">
        <v>40</v>
      </c>
      <c r="G25" s="8" t="s">
        <v>34</v>
      </c>
      <c r="H25" s="8">
        <f t="shared" ca="1" si="0"/>
        <v>9</v>
      </c>
      <c r="I25" s="8">
        <f t="shared" ca="1" si="1"/>
        <v>84108</v>
      </c>
      <c r="J25" s="9">
        <f t="shared" ca="1" si="2"/>
        <v>1682.16</v>
      </c>
      <c r="K25" s="9">
        <f t="shared" ca="1" si="3"/>
        <v>4205.4000000000005</v>
      </c>
      <c r="L25" s="9">
        <f t="shared" ca="1" si="4"/>
        <v>7569.7199999999993</v>
      </c>
      <c r="M25" s="9">
        <f t="shared" ca="1" si="5"/>
        <v>8410.8000000000011</v>
      </c>
      <c r="N25" s="9">
        <f t="shared" ca="1" si="6"/>
        <v>10092.959999999999</v>
      </c>
      <c r="O25" s="9">
        <f t="shared" ca="1" si="7"/>
        <v>52146.96</v>
      </c>
      <c r="P25" s="9">
        <f t="shared" ca="1" si="8"/>
        <v>625763.52</v>
      </c>
      <c r="Q25" s="9">
        <f t="shared" ca="1" si="9"/>
        <v>12515.270400000001</v>
      </c>
      <c r="R25" s="9">
        <f t="shared" ca="1" si="10"/>
        <v>613248.24959999998</v>
      </c>
    </row>
    <row r="26" spans="3:18">
      <c r="C26" s="10">
        <v>19</v>
      </c>
      <c r="D26" s="11">
        <v>7882</v>
      </c>
      <c r="E26" s="8" t="s">
        <v>47</v>
      </c>
      <c r="F26" s="11" t="s">
        <v>40</v>
      </c>
      <c r="G26" s="8" t="s">
        <v>34</v>
      </c>
      <c r="H26" s="8">
        <f t="shared" ca="1" si="0"/>
        <v>9</v>
      </c>
      <c r="I26" s="8">
        <f t="shared" ca="1" si="1"/>
        <v>128964</v>
      </c>
      <c r="J26" s="9">
        <f t="shared" ca="1" si="2"/>
        <v>2579.2800000000002</v>
      </c>
      <c r="K26" s="9">
        <f t="shared" ca="1" si="3"/>
        <v>6448.2000000000007</v>
      </c>
      <c r="L26" s="9">
        <f t="shared" ca="1" si="4"/>
        <v>11606.76</v>
      </c>
      <c r="M26" s="9">
        <f t="shared" ca="1" si="5"/>
        <v>12896.400000000001</v>
      </c>
      <c r="N26" s="9">
        <f t="shared" ca="1" si="6"/>
        <v>15475.68</v>
      </c>
      <c r="O26" s="9">
        <f t="shared" ca="1" si="7"/>
        <v>79957.680000000022</v>
      </c>
      <c r="P26" s="9">
        <f t="shared" ca="1" si="8"/>
        <v>959492.16000000027</v>
      </c>
      <c r="Q26" s="9">
        <f t="shared" ca="1" si="9"/>
        <v>19189.843200000007</v>
      </c>
      <c r="R26" s="9">
        <f t="shared" ca="1" si="10"/>
        <v>940302.31680000026</v>
      </c>
    </row>
    <row r="27" spans="3:18">
      <c r="C27" s="10">
        <v>20</v>
      </c>
      <c r="D27" s="11">
        <v>7883</v>
      </c>
      <c r="E27" s="8" t="s">
        <v>48</v>
      </c>
      <c r="F27" s="11" t="s">
        <v>40</v>
      </c>
      <c r="G27" s="11" t="s">
        <v>26</v>
      </c>
      <c r="H27" s="8">
        <f t="shared" ca="1" si="0"/>
        <v>10</v>
      </c>
      <c r="I27" s="8">
        <f t="shared" ca="1" si="1"/>
        <v>130409</v>
      </c>
      <c r="J27" s="9">
        <f t="shared" ca="1" si="2"/>
        <v>2608.1799999999998</v>
      </c>
      <c r="K27" s="9">
        <f t="shared" ca="1" si="3"/>
        <v>6520.4500000000007</v>
      </c>
      <c r="L27" s="9">
        <f t="shared" ca="1" si="4"/>
        <v>11736.81</v>
      </c>
      <c r="M27" s="9">
        <f t="shared" ca="1" si="5"/>
        <v>13040.900000000001</v>
      </c>
      <c r="N27" s="9">
        <f t="shared" ca="1" si="6"/>
        <v>15649.08</v>
      </c>
      <c r="O27" s="9">
        <f t="shared" ca="1" si="7"/>
        <v>80853.58</v>
      </c>
      <c r="P27" s="9">
        <f t="shared" ca="1" si="8"/>
        <v>970242.96</v>
      </c>
      <c r="Q27" s="9">
        <f t="shared" ca="1" si="9"/>
        <v>19404.859199999999</v>
      </c>
      <c r="R27" s="9">
        <f t="shared" ca="1" si="10"/>
        <v>950838.10080000001</v>
      </c>
    </row>
    <row r="28" spans="3:18">
      <c r="C28" s="10">
        <v>21</v>
      </c>
      <c r="D28" s="11">
        <v>7884</v>
      </c>
      <c r="E28" s="8" t="s">
        <v>49</v>
      </c>
      <c r="F28" s="11" t="s">
        <v>40</v>
      </c>
      <c r="G28" s="8" t="s">
        <v>34</v>
      </c>
      <c r="H28" s="8">
        <f t="shared" ca="1" si="0"/>
        <v>7</v>
      </c>
      <c r="I28" s="8">
        <f t="shared" ca="1" si="1"/>
        <v>125561</v>
      </c>
      <c r="J28" s="9">
        <f t="shared" ca="1" si="2"/>
        <v>2511.2200000000003</v>
      </c>
      <c r="K28" s="9">
        <f t="shared" ca="1" si="3"/>
        <v>6278.05</v>
      </c>
      <c r="L28" s="9">
        <f t="shared" ca="1" si="4"/>
        <v>11300.49</v>
      </c>
      <c r="M28" s="9">
        <f t="shared" ca="1" si="5"/>
        <v>12556.1</v>
      </c>
      <c r="N28" s="9">
        <f t="shared" ca="1" si="6"/>
        <v>15067.32</v>
      </c>
      <c r="O28" s="9">
        <f t="shared" ca="1" si="7"/>
        <v>77847.819999999978</v>
      </c>
      <c r="P28" s="9">
        <f t="shared" ca="1" si="8"/>
        <v>934173.83999999973</v>
      </c>
      <c r="Q28" s="9">
        <f t="shared" ca="1" si="9"/>
        <v>18683.476799999997</v>
      </c>
      <c r="R28" s="9">
        <f t="shared" ca="1" si="10"/>
        <v>915490.36319999979</v>
      </c>
    </row>
    <row r="29" spans="3:18">
      <c r="C29" s="10">
        <v>22</v>
      </c>
      <c r="D29" s="11">
        <v>7885</v>
      </c>
      <c r="E29" s="8" t="s">
        <v>50</v>
      </c>
      <c r="F29" s="11" t="s">
        <v>40</v>
      </c>
      <c r="G29" s="12" t="s">
        <v>37</v>
      </c>
      <c r="H29" s="8">
        <f t="shared" ca="1" si="0"/>
        <v>5</v>
      </c>
      <c r="I29" s="8">
        <f t="shared" ca="1" si="1"/>
        <v>134712</v>
      </c>
      <c r="J29" s="9">
        <f t="shared" ca="1" si="2"/>
        <v>2694.2400000000002</v>
      </c>
      <c r="K29" s="9">
        <f t="shared" ca="1" si="3"/>
        <v>6735.6</v>
      </c>
      <c r="L29" s="9">
        <f t="shared" ca="1" si="4"/>
        <v>12124.08</v>
      </c>
      <c r="M29" s="9">
        <f t="shared" ca="1" si="5"/>
        <v>13471.2</v>
      </c>
      <c r="N29" s="9">
        <f t="shared" ca="1" si="6"/>
        <v>16165.439999999999</v>
      </c>
      <c r="O29" s="9">
        <f t="shared" ca="1" si="7"/>
        <v>83521.440000000002</v>
      </c>
      <c r="P29" s="9">
        <f t="shared" ca="1" si="8"/>
        <v>1002257.28</v>
      </c>
      <c r="Q29" s="9">
        <f t="shared" ca="1" si="9"/>
        <v>20045.1456</v>
      </c>
      <c r="R29" s="9">
        <f t="shared" ca="1" si="10"/>
        <v>982212.13439999998</v>
      </c>
    </row>
    <row r="30" spans="3:18">
      <c r="C30" s="10">
        <v>23</v>
      </c>
      <c r="D30" s="11">
        <v>7886</v>
      </c>
      <c r="E30" s="8" t="s">
        <v>51</v>
      </c>
      <c r="F30" s="8" t="s">
        <v>52</v>
      </c>
      <c r="G30" s="11" t="s">
        <v>26</v>
      </c>
      <c r="H30" s="8">
        <f t="shared" ca="1" si="0"/>
        <v>12</v>
      </c>
      <c r="I30" s="8">
        <f t="shared" ca="1" si="1"/>
        <v>123045</v>
      </c>
      <c r="J30" s="9">
        <f t="shared" ca="1" si="2"/>
        <v>2460.9</v>
      </c>
      <c r="K30" s="9">
        <f t="shared" ca="1" si="3"/>
        <v>6152.25</v>
      </c>
      <c r="L30" s="9">
        <f t="shared" ca="1" si="4"/>
        <v>11074.05</v>
      </c>
      <c r="M30" s="9">
        <f t="shared" ca="1" si="5"/>
        <v>12304.5</v>
      </c>
      <c r="N30" s="9">
        <f t="shared" ca="1" si="6"/>
        <v>14765.4</v>
      </c>
      <c r="O30" s="9">
        <f t="shared" ca="1" si="7"/>
        <v>76287.900000000009</v>
      </c>
      <c r="P30" s="9">
        <f t="shared" ca="1" si="8"/>
        <v>915454.8</v>
      </c>
      <c r="Q30" s="9">
        <f t="shared" ca="1" si="9"/>
        <v>18309.096000000001</v>
      </c>
      <c r="R30" s="9">
        <f t="shared" ca="1" si="10"/>
        <v>897145.70400000003</v>
      </c>
    </row>
    <row r="31" spans="3:18">
      <c r="C31" s="10">
        <v>24</v>
      </c>
      <c r="D31" s="11">
        <v>7887</v>
      </c>
      <c r="E31" s="8" t="s">
        <v>53</v>
      </c>
      <c r="F31" s="8" t="s">
        <v>52</v>
      </c>
      <c r="G31" s="8" t="s">
        <v>34</v>
      </c>
      <c r="H31" s="8">
        <f t="shared" ca="1" si="0"/>
        <v>10</v>
      </c>
      <c r="I31" s="8">
        <f t="shared" ca="1" si="1"/>
        <v>79605</v>
      </c>
      <c r="J31" s="9">
        <f t="shared" ca="1" si="2"/>
        <v>1592.1000000000001</v>
      </c>
      <c r="K31" s="9">
        <f t="shared" ca="1" si="3"/>
        <v>3980.25</v>
      </c>
      <c r="L31" s="9">
        <f t="shared" ca="1" si="4"/>
        <v>7164.45</v>
      </c>
      <c r="M31" s="9">
        <f t="shared" ca="1" si="5"/>
        <v>7960.5</v>
      </c>
      <c r="N31" s="9">
        <f t="shared" ca="1" si="6"/>
        <v>9552.6</v>
      </c>
      <c r="O31" s="9">
        <f t="shared" ca="1" si="7"/>
        <v>49355.1</v>
      </c>
      <c r="P31" s="9">
        <f t="shared" ca="1" si="8"/>
        <v>592261.19999999995</v>
      </c>
      <c r="Q31" s="9">
        <f t="shared" ca="1" si="9"/>
        <v>11845.224</v>
      </c>
      <c r="R31" s="9">
        <f t="shared" ca="1" si="10"/>
        <v>580415.97599999991</v>
      </c>
    </row>
    <row r="32" spans="3:18">
      <c r="C32" s="10">
        <v>25</v>
      </c>
      <c r="D32" s="11">
        <v>7888</v>
      </c>
      <c r="E32" s="8" t="s">
        <v>54</v>
      </c>
      <c r="F32" s="8" t="s">
        <v>52</v>
      </c>
      <c r="G32" s="12" t="s">
        <v>37</v>
      </c>
      <c r="H32" s="8">
        <f t="shared" ca="1" si="0"/>
        <v>14</v>
      </c>
      <c r="I32" s="8">
        <f t="shared" ca="1" si="1"/>
        <v>85114</v>
      </c>
      <c r="J32" s="9">
        <f t="shared" ca="1" si="2"/>
        <v>1702.28</v>
      </c>
      <c r="K32" s="9">
        <f t="shared" ca="1" si="3"/>
        <v>4255.7</v>
      </c>
      <c r="L32" s="9">
        <f t="shared" ca="1" si="4"/>
        <v>7660.2599999999993</v>
      </c>
      <c r="M32" s="9">
        <f t="shared" ca="1" si="5"/>
        <v>8511.4</v>
      </c>
      <c r="N32" s="9">
        <f t="shared" ca="1" si="6"/>
        <v>10213.68</v>
      </c>
      <c r="O32" s="9">
        <f t="shared" ca="1" si="7"/>
        <v>52770.680000000008</v>
      </c>
      <c r="P32" s="9">
        <f t="shared" ca="1" si="8"/>
        <v>633248.16000000015</v>
      </c>
      <c r="Q32" s="9">
        <f t="shared" ca="1" si="9"/>
        <v>12664.963200000004</v>
      </c>
      <c r="R32" s="9">
        <f t="shared" ca="1" si="10"/>
        <v>620583.19680000015</v>
      </c>
    </row>
    <row r="33" spans="3:19">
      <c r="C33" s="10">
        <v>26</v>
      </c>
      <c r="D33" s="11">
        <v>7889</v>
      </c>
      <c r="E33" s="8" t="s">
        <v>55</v>
      </c>
      <c r="F33" s="8" t="s">
        <v>52</v>
      </c>
      <c r="G33" s="8" t="s">
        <v>44</v>
      </c>
      <c r="H33" s="8">
        <f t="shared" ca="1" si="0"/>
        <v>14</v>
      </c>
      <c r="I33" s="8">
        <f t="shared" ca="1" si="1"/>
        <v>80655</v>
      </c>
      <c r="J33" s="9">
        <f t="shared" ca="1" si="2"/>
        <v>1613.1000000000001</v>
      </c>
      <c r="K33" s="9">
        <f t="shared" ca="1" si="3"/>
        <v>4032.75</v>
      </c>
      <c r="L33" s="9">
        <f t="shared" ca="1" si="4"/>
        <v>7258.95</v>
      </c>
      <c r="M33" s="9">
        <f t="shared" ca="1" si="5"/>
        <v>8065.5</v>
      </c>
      <c r="N33" s="9">
        <f t="shared" ca="1" si="6"/>
        <v>9678.6</v>
      </c>
      <c r="O33" s="9">
        <f t="shared" ca="1" si="7"/>
        <v>50006.1</v>
      </c>
      <c r="P33" s="9">
        <f t="shared" ca="1" si="8"/>
        <v>600073.19999999995</v>
      </c>
      <c r="Q33" s="9">
        <f t="shared" ca="1" si="9"/>
        <v>12001.464</v>
      </c>
      <c r="R33" s="9">
        <f t="shared" ca="1" si="10"/>
        <v>588071.73599999992</v>
      </c>
    </row>
    <row r="34" spans="3:19">
      <c r="C34" s="10">
        <v>27</v>
      </c>
      <c r="D34" s="11">
        <v>7890</v>
      </c>
      <c r="E34" s="8" t="s">
        <v>56</v>
      </c>
      <c r="F34" s="8" t="s">
        <v>52</v>
      </c>
      <c r="G34" s="11" t="s">
        <v>26</v>
      </c>
      <c r="H34" s="8">
        <f t="shared" ca="1" si="0"/>
        <v>13</v>
      </c>
      <c r="I34" s="8">
        <f t="shared" ca="1" si="1"/>
        <v>104568</v>
      </c>
      <c r="J34" s="9">
        <f t="shared" ca="1" si="2"/>
        <v>2091.36</v>
      </c>
      <c r="K34" s="9">
        <f t="shared" ca="1" si="3"/>
        <v>5228.4000000000005</v>
      </c>
      <c r="L34" s="9">
        <f t="shared" ca="1" si="4"/>
        <v>9411.119999999999</v>
      </c>
      <c r="M34" s="9">
        <f t="shared" ca="1" si="5"/>
        <v>10456.800000000001</v>
      </c>
      <c r="N34" s="9">
        <f t="shared" ca="1" si="6"/>
        <v>12548.16</v>
      </c>
      <c r="O34" s="9">
        <f t="shared" ca="1" si="7"/>
        <v>64832.160000000003</v>
      </c>
      <c r="P34" s="9">
        <f t="shared" ca="1" si="8"/>
        <v>777985.92</v>
      </c>
      <c r="Q34" s="9">
        <f t="shared" ca="1" si="9"/>
        <v>15559.718400000002</v>
      </c>
      <c r="R34" s="9">
        <f t="shared" ca="1" si="10"/>
        <v>762426.20160000003</v>
      </c>
    </row>
    <row r="35" spans="3:19">
      <c r="C35" s="10">
        <v>28</v>
      </c>
      <c r="D35" s="11">
        <v>7891</v>
      </c>
      <c r="E35" s="8" t="s">
        <v>57</v>
      </c>
      <c r="F35" s="8" t="s">
        <v>52</v>
      </c>
      <c r="G35" s="12" t="s">
        <v>37</v>
      </c>
      <c r="H35" s="8">
        <f t="shared" ca="1" si="0"/>
        <v>13</v>
      </c>
      <c r="I35" s="8">
        <f t="shared" ca="1" si="1"/>
        <v>94795</v>
      </c>
      <c r="J35" s="9">
        <f t="shared" ca="1" si="2"/>
        <v>1895.9</v>
      </c>
      <c r="K35" s="9">
        <f t="shared" ca="1" si="3"/>
        <v>4739.75</v>
      </c>
      <c r="L35" s="9">
        <f t="shared" ca="1" si="4"/>
        <v>8531.5499999999993</v>
      </c>
      <c r="M35" s="9">
        <f t="shared" ca="1" si="5"/>
        <v>9479.5</v>
      </c>
      <c r="N35" s="9">
        <f t="shared" ca="1" si="6"/>
        <v>11375.4</v>
      </c>
      <c r="O35" s="9">
        <f t="shared" ca="1" si="7"/>
        <v>58772.9</v>
      </c>
      <c r="P35" s="9">
        <f t="shared" ca="1" si="8"/>
        <v>705274.8</v>
      </c>
      <c r="Q35" s="9">
        <f t="shared" ca="1" si="9"/>
        <v>14105.496000000001</v>
      </c>
      <c r="R35" s="9">
        <f t="shared" ca="1" si="10"/>
        <v>691169.304</v>
      </c>
    </row>
    <row r="36" spans="3:19">
      <c r="C36" s="10">
        <v>29</v>
      </c>
      <c r="D36" s="11">
        <v>7892</v>
      </c>
      <c r="E36" s="8" t="s">
        <v>58</v>
      </c>
      <c r="F36" s="8" t="s">
        <v>52</v>
      </c>
      <c r="G36" s="8" t="s">
        <v>34</v>
      </c>
      <c r="H36" s="8">
        <f t="shared" ca="1" si="0"/>
        <v>10</v>
      </c>
      <c r="I36" s="8">
        <f t="shared" ca="1" si="1"/>
        <v>129538</v>
      </c>
      <c r="J36" s="9">
        <f t="shared" ca="1" si="2"/>
        <v>2590.7600000000002</v>
      </c>
      <c r="K36" s="9">
        <f t="shared" ca="1" si="3"/>
        <v>6476.9000000000005</v>
      </c>
      <c r="L36" s="9">
        <f t="shared" ca="1" si="4"/>
        <v>11658.42</v>
      </c>
      <c r="M36" s="9">
        <f t="shared" ca="1" si="5"/>
        <v>12953.800000000001</v>
      </c>
      <c r="N36" s="9">
        <f t="shared" ca="1" si="6"/>
        <v>15544.56</v>
      </c>
      <c r="O36" s="9">
        <f t="shared" ca="1" si="7"/>
        <v>80313.560000000012</v>
      </c>
      <c r="P36" s="9">
        <f t="shared" ca="1" si="8"/>
        <v>963762.7200000002</v>
      </c>
      <c r="Q36" s="9">
        <f t="shared" ca="1" si="9"/>
        <v>19275.254400000005</v>
      </c>
      <c r="R36" s="9">
        <f t="shared" ca="1" si="10"/>
        <v>944487.46560000023</v>
      </c>
    </row>
    <row r="37" spans="3:19">
      <c r="C37" s="10">
        <v>30</v>
      </c>
      <c r="D37" s="11">
        <v>7893</v>
      </c>
      <c r="E37" s="8" t="s">
        <v>59</v>
      </c>
      <c r="F37" s="8" t="s">
        <v>52</v>
      </c>
      <c r="G37" s="8" t="s">
        <v>44</v>
      </c>
      <c r="H37" s="8">
        <f t="shared" ca="1" si="0"/>
        <v>15</v>
      </c>
      <c r="I37" s="8">
        <f t="shared" ca="1" si="1"/>
        <v>106411</v>
      </c>
      <c r="J37" s="9">
        <f t="shared" ca="1" si="2"/>
        <v>2128.2200000000003</v>
      </c>
      <c r="K37" s="9">
        <f t="shared" ca="1" si="3"/>
        <v>5320.55</v>
      </c>
      <c r="L37" s="9">
        <f t="shared" ca="1" si="4"/>
        <v>9576.99</v>
      </c>
      <c r="M37" s="9">
        <f t="shared" ca="1" si="5"/>
        <v>10641.1</v>
      </c>
      <c r="N37" s="9">
        <f t="shared" ca="1" si="6"/>
        <v>12769.32</v>
      </c>
      <c r="O37" s="9">
        <f t="shared" ca="1" si="7"/>
        <v>65974.819999999978</v>
      </c>
      <c r="P37" s="9">
        <f t="shared" ca="1" si="8"/>
        <v>791697.83999999973</v>
      </c>
      <c r="Q37" s="9">
        <f t="shared" ca="1" si="9"/>
        <v>15833.956799999994</v>
      </c>
      <c r="R37" s="9">
        <f t="shared" ca="1" si="10"/>
        <v>775863.88319999969</v>
      </c>
    </row>
    <row r="38" spans="3:19">
      <c r="C38" s="10">
        <v>31</v>
      </c>
      <c r="D38" s="11">
        <v>7894</v>
      </c>
      <c r="E38" s="8" t="s">
        <v>47</v>
      </c>
      <c r="F38" s="8" t="s">
        <v>52</v>
      </c>
      <c r="G38" s="11" t="s">
        <v>26</v>
      </c>
      <c r="H38" s="8">
        <f t="shared" ca="1" si="0"/>
        <v>14</v>
      </c>
      <c r="I38" s="8">
        <f t="shared" ca="1" si="1"/>
        <v>120366</v>
      </c>
      <c r="J38" s="9">
        <f t="shared" ca="1" si="2"/>
        <v>2407.3200000000002</v>
      </c>
      <c r="K38" s="9">
        <f t="shared" ca="1" si="3"/>
        <v>6018.3</v>
      </c>
      <c r="L38" s="9">
        <f t="shared" ca="1" si="4"/>
        <v>10832.939999999999</v>
      </c>
      <c r="M38" s="9">
        <f t="shared" ca="1" si="5"/>
        <v>12036.6</v>
      </c>
      <c r="N38" s="9">
        <f t="shared" ca="1" si="6"/>
        <v>14443.92</v>
      </c>
      <c r="O38" s="9">
        <f t="shared" ca="1" si="7"/>
        <v>74626.919999999984</v>
      </c>
      <c r="P38" s="9">
        <f t="shared" ca="1" si="8"/>
        <v>895523.0399999998</v>
      </c>
      <c r="Q38" s="9">
        <f t="shared" ca="1" si="9"/>
        <v>17910.460799999997</v>
      </c>
      <c r="R38" s="9">
        <f t="shared" ca="1" si="10"/>
        <v>877612.5791999998</v>
      </c>
    </row>
    <row r="39" spans="3:19">
      <c r="C39" s="10">
        <v>32</v>
      </c>
      <c r="D39" s="11">
        <v>7895</v>
      </c>
      <c r="E39" s="8" t="s">
        <v>60</v>
      </c>
      <c r="F39" s="8" t="s">
        <v>52</v>
      </c>
      <c r="G39" s="12" t="s">
        <v>37</v>
      </c>
      <c r="H39" s="8">
        <f t="shared" ca="1" si="0"/>
        <v>9</v>
      </c>
      <c r="I39" s="8">
        <f t="shared" ca="1" si="1"/>
        <v>135305</v>
      </c>
      <c r="J39" s="9">
        <f t="shared" ca="1" si="2"/>
        <v>2706.1</v>
      </c>
      <c r="K39" s="9">
        <f t="shared" ca="1" si="3"/>
        <v>6765.25</v>
      </c>
      <c r="L39" s="9">
        <f t="shared" ca="1" si="4"/>
        <v>12177.449999999999</v>
      </c>
      <c r="M39" s="9">
        <f t="shared" ca="1" si="5"/>
        <v>13530.5</v>
      </c>
      <c r="N39" s="9">
        <f t="shared" ca="1" si="6"/>
        <v>16236.599999999999</v>
      </c>
      <c r="O39" s="9">
        <f t="shared" ca="1" si="7"/>
        <v>83889.1</v>
      </c>
      <c r="P39" s="9">
        <f t="shared" ca="1" si="8"/>
        <v>1006669.2000000001</v>
      </c>
      <c r="Q39" s="9">
        <f t="shared" ca="1" si="9"/>
        <v>20133.384000000002</v>
      </c>
      <c r="R39" s="9">
        <f t="shared" ca="1" si="10"/>
        <v>986535.81600000011</v>
      </c>
    </row>
    <row r="40" spans="3:19">
      <c r="C40" s="10">
        <v>33</v>
      </c>
      <c r="D40" s="11">
        <v>7896</v>
      </c>
      <c r="E40" s="8" t="s">
        <v>61</v>
      </c>
      <c r="F40" s="8" t="s">
        <v>44</v>
      </c>
      <c r="G40" s="8" t="s">
        <v>44</v>
      </c>
      <c r="H40" s="8">
        <f t="shared" ca="1" si="0"/>
        <v>10</v>
      </c>
      <c r="I40" s="8">
        <f t="shared" ca="1" si="1"/>
        <v>123548</v>
      </c>
      <c r="J40" s="9">
        <f t="shared" ca="1" si="2"/>
        <v>2470.96</v>
      </c>
      <c r="K40" s="9">
        <f t="shared" ca="1" si="3"/>
        <v>6177.4000000000005</v>
      </c>
      <c r="L40" s="9">
        <f t="shared" ca="1" si="4"/>
        <v>11119.32</v>
      </c>
      <c r="M40" s="9">
        <f t="shared" ca="1" si="5"/>
        <v>12354.800000000001</v>
      </c>
      <c r="N40" s="9">
        <f t="shared" ca="1" si="6"/>
        <v>14825.76</v>
      </c>
      <c r="O40" s="9">
        <f t="shared" ca="1" si="7"/>
        <v>76599.760000000009</v>
      </c>
      <c r="P40" s="9">
        <f t="shared" ca="1" si="8"/>
        <v>919197.12000000011</v>
      </c>
      <c r="Q40" s="9">
        <f t="shared" ca="1" si="9"/>
        <v>18383.942400000004</v>
      </c>
      <c r="R40" s="9">
        <f t="shared" ca="1" si="10"/>
        <v>900813.17760000005</v>
      </c>
    </row>
    <row r="41" spans="3:19">
      <c r="C41" s="10">
        <v>34</v>
      </c>
      <c r="D41" s="11">
        <v>7897</v>
      </c>
      <c r="E41" s="8" t="s">
        <v>62</v>
      </c>
      <c r="F41" s="8" t="s">
        <v>44</v>
      </c>
      <c r="G41" s="11" t="s">
        <v>26</v>
      </c>
      <c r="H41" s="8">
        <f t="shared" ca="1" si="0"/>
        <v>10</v>
      </c>
      <c r="I41" s="8">
        <f t="shared" ca="1" si="1"/>
        <v>108071</v>
      </c>
      <c r="J41" s="9">
        <f t="shared" ca="1" si="2"/>
        <v>2161.42</v>
      </c>
      <c r="K41" s="9">
        <f t="shared" ca="1" si="3"/>
        <v>5403.55</v>
      </c>
      <c r="L41" s="9">
        <f t="shared" ca="1" si="4"/>
        <v>9726.39</v>
      </c>
      <c r="M41" s="9">
        <f t="shared" ca="1" si="5"/>
        <v>10807.1</v>
      </c>
      <c r="N41" s="9">
        <f t="shared" ca="1" si="6"/>
        <v>12968.519999999999</v>
      </c>
      <c r="O41" s="9">
        <f t="shared" ca="1" si="7"/>
        <v>67004.01999999999</v>
      </c>
      <c r="P41" s="9">
        <f t="shared" ca="1" si="8"/>
        <v>804048.23999999987</v>
      </c>
      <c r="Q41" s="9">
        <f t="shared" ca="1" si="9"/>
        <v>16080.964799999998</v>
      </c>
      <c r="R41" s="9">
        <f t="shared" ca="1" si="10"/>
        <v>787967.27519999992</v>
      </c>
    </row>
    <row r="42" spans="3:19">
      <c r="C42" s="10">
        <v>35</v>
      </c>
      <c r="D42" s="11">
        <v>7898</v>
      </c>
      <c r="E42" s="8" t="s">
        <v>63</v>
      </c>
      <c r="F42" s="8" t="s">
        <v>44</v>
      </c>
      <c r="G42" s="12" t="s">
        <v>37</v>
      </c>
      <c r="H42" s="8">
        <f t="shared" ca="1" si="0"/>
        <v>14</v>
      </c>
      <c r="I42" s="8">
        <f t="shared" ca="1" si="1"/>
        <v>130708</v>
      </c>
      <c r="J42" s="9">
        <f t="shared" ca="1" si="2"/>
        <v>2614.16</v>
      </c>
      <c r="K42" s="9">
        <f t="shared" ca="1" si="3"/>
        <v>6535.4000000000005</v>
      </c>
      <c r="L42" s="9">
        <f t="shared" ca="1" si="4"/>
        <v>11763.72</v>
      </c>
      <c r="M42" s="9">
        <f t="shared" ca="1" si="5"/>
        <v>13070.800000000001</v>
      </c>
      <c r="N42" s="9">
        <f t="shared" ca="1" si="6"/>
        <v>15684.96</v>
      </c>
      <c r="O42" s="9">
        <f t="shared" ca="1" si="7"/>
        <v>81038.959999999992</v>
      </c>
      <c r="P42" s="9">
        <f t="shared" ca="1" si="8"/>
        <v>972467.5199999999</v>
      </c>
      <c r="Q42" s="9">
        <f t="shared" ca="1" si="9"/>
        <v>19449.350399999999</v>
      </c>
      <c r="R42" s="9">
        <f t="shared" ca="1" si="10"/>
        <v>953018.16959999991</v>
      </c>
    </row>
    <row r="43" spans="3:19">
      <c r="C43" s="10">
        <v>36</v>
      </c>
      <c r="D43" s="11">
        <v>7899</v>
      </c>
      <c r="E43" s="8" t="s">
        <v>64</v>
      </c>
      <c r="F43" s="8" t="s">
        <v>44</v>
      </c>
      <c r="G43" s="8" t="s">
        <v>34</v>
      </c>
      <c r="H43" s="8">
        <f t="shared" ca="1" si="0"/>
        <v>6</v>
      </c>
      <c r="I43" s="8">
        <f t="shared" ca="1" si="1"/>
        <v>133965</v>
      </c>
      <c r="J43" s="9">
        <f t="shared" ca="1" si="2"/>
        <v>2679.3</v>
      </c>
      <c r="K43" s="9">
        <f t="shared" ca="1" si="3"/>
        <v>6698.25</v>
      </c>
      <c r="L43" s="9">
        <f t="shared" ca="1" si="4"/>
        <v>12056.85</v>
      </c>
      <c r="M43" s="9">
        <f t="shared" ca="1" si="5"/>
        <v>13396.5</v>
      </c>
      <c r="N43" s="9">
        <f t="shared" ca="1" si="6"/>
        <v>16075.8</v>
      </c>
      <c r="O43" s="9">
        <f t="shared" ca="1" si="7"/>
        <v>83058.3</v>
      </c>
      <c r="P43" s="9">
        <f t="shared" ca="1" si="8"/>
        <v>996699.60000000009</v>
      </c>
      <c r="Q43" s="9">
        <f t="shared" ca="1" si="9"/>
        <v>19933.992000000002</v>
      </c>
      <c r="R43" s="9">
        <f t="shared" ca="1" si="10"/>
        <v>976765.60800000012</v>
      </c>
      <c r="S43" s="3"/>
    </row>
    <row r="44" spans="3:19">
      <c r="C44" s="10">
        <v>37</v>
      </c>
      <c r="D44" s="11">
        <v>7900</v>
      </c>
      <c r="E44" s="8" t="s">
        <v>43</v>
      </c>
      <c r="F44" s="8" t="s">
        <v>44</v>
      </c>
      <c r="G44" s="8" t="s">
        <v>44</v>
      </c>
      <c r="H44" s="8">
        <f t="shared" ca="1" si="0"/>
        <v>7</v>
      </c>
      <c r="I44" s="8">
        <f t="shared" ca="1" si="1"/>
        <v>83589</v>
      </c>
      <c r="J44" s="9">
        <f t="shared" ca="1" si="2"/>
        <v>1671.78</v>
      </c>
      <c r="K44" s="9">
        <f t="shared" ca="1" si="3"/>
        <v>4179.45</v>
      </c>
      <c r="L44" s="9">
        <f t="shared" ca="1" si="4"/>
        <v>7523.0099999999993</v>
      </c>
      <c r="M44" s="9">
        <f t="shared" ca="1" si="5"/>
        <v>8358.9</v>
      </c>
      <c r="N44" s="9">
        <f t="shared" ca="1" si="6"/>
        <v>10030.68</v>
      </c>
      <c r="O44" s="9">
        <f t="shared" ca="1" si="7"/>
        <v>51825.180000000008</v>
      </c>
      <c r="P44" s="9">
        <f t="shared" ca="1" si="8"/>
        <v>621902.16000000015</v>
      </c>
      <c r="Q44" s="9">
        <f t="shared" ca="1" si="9"/>
        <v>12438.043200000004</v>
      </c>
      <c r="R44" s="9">
        <f t="shared" ca="1" si="10"/>
        <v>609464.11680000019</v>
      </c>
      <c r="S44" s="3"/>
    </row>
    <row r="45" spans="3:19">
      <c r="C45" s="10">
        <v>38</v>
      </c>
      <c r="D45" s="11">
        <v>7901</v>
      </c>
      <c r="E45" s="8" t="s">
        <v>65</v>
      </c>
      <c r="F45" s="8" t="s">
        <v>44</v>
      </c>
      <c r="G45" s="11" t="s">
        <v>26</v>
      </c>
      <c r="H45" s="8">
        <f t="shared" ca="1" si="0"/>
        <v>5</v>
      </c>
      <c r="I45" s="8">
        <f t="shared" ca="1" si="1"/>
        <v>81839</v>
      </c>
      <c r="J45" s="9">
        <f t="shared" ca="1" si="2"/>
        <v>1636.78</v>
      </c>
      <c r="K45" s="9">
        <f t="shared" ca="1" si="3"/>
        <v>4091.9500000000003</v>
      </c>
      <c r="L45" s="9">
        <f t="shared" ca="1" si="4"/>
        <v>7365.5099999999993</v>
      </c>
      <c r="M45" s="9">
        <f t="shared" ca="1" si="5"/>
        <v>8183.9000000000005</v>
      </c>
      <c r="N45" s="9">
        <f t="shared" ca="1" si="6"/>
        <v>9820.68</v>
      </c>
      <c r="O45" s="9">
        <f t="shared" ca="1" si="7"/>
        <v>50740.180000000008</v>
      </c>
      <c r="P45" s="9">
        <f t="shared" ca="1" si="8"/>
        <v>608882.16000000015</v>
      </c>
      <c r="Q45" s="9">
        <f t="shared" ca="1" si="9"/>
        <v>12177.643200000004</v>
      </c>
      <c r="R45" s="9">
        <f t="shared" ca="1" si="10"/>
        <v>596704.5168000001</v>
      </c>
      <c r="S45" s="3"/>
    </row>
    <row r="46" spans="3:19">
      <c r="C46" s="10">
        <v>39</v>
      </c>
      <c r="D46" s="11">
        <v>7902</v>
      </c>
      <c r="E46" s="8" t="s">
        <v>66</v>
      </c>
      <c r="F46" s="8" t="s">
        <v>44</v>
      </c>
      <c r="G46" s="8" t="s">
        <v>34</v>
      </c>
      <c r="H46" s="8">
        <f t="shared" ca="1" si="0"/>
        <v>14</v>
      </c>
      <c r="I46" s="8">
        <f t="shared" ca="1" si="1"/>
        <v>107202</v>
      </c>
      <c r="J46" s="9">
        <f t="shared" ca="1" si="2"/>
        <v>2144.04</v>
      </c>
      <c r="K46" s="9">
        <f t="shared" ca="1" si="3"/>
        <v>5360.1</v>
      </c>
      <c r="L46" s="9">
        <f t="shared" ca="1" si="4"/>
        <v>9648.18</v>
      </c>
      <c r="M46" s="9">
        <f t="shared" ca="1" si="5"/>
        <v>10720.2</v>
      </c>
      <c r="N46" s="9">
        <f t="shared" ca="1" si="6"/>
        <v>12864.24</v>
      </c>
      <c r="O46" s="9">
        <f t="shared" ca="1" si="7"/>
        <v>66465.239999999991</v>
      </c>
      <c r="P46" s="9">
        <f t="shared" ca="1" si="8"/>
        <v>797582.87999999989</v>
      </c>
      <c r="Q46" s="9">
        <f t="shared" ca="1" si="9"/>
        <v>15951.657599999999</v>
      </c>
      <c r="R46" s="9">
        <f t="shared" ca="1" si="10"/>
        <v>781631.22239999985</v>
      </c>
      <c r="S46" s="3"/>
    </row>
    <row r="47" spans="3:19">
      <c r="C47" s="10">
        <v>40</v>
      </c>
      <c r="D47" s="11">
        <v>7903</v>
      </c>
      <c r="E47" s="8" t="s">
        <v>48</v>
      </c>
      <c r="F47" s="8" t="s">
        <v>44</v>
      </c>
      <c r="G47" s="11" t="s">
        <v>26</v>
      </c>
      <c r="H47" s="8">
        <f t="shared" ca="1" si="0"/>
        <v>7</v>
      </c>
      <c r="I47" s="8">
        <f t="shared" ca="1" si="1"/>
        <v>135983</v>
      </c>
      <c r="J47" s="9">
        <f t="shared" ca="1" si="2"/>
        <v>2719.66</v>
      </c>
      <c r="K47" s="9">
        <f t="shared" ca="1" si="3"/>
        <v>6799.1500000000005</v>
      </c>
      <c r="L47" s="9">
        <f t="shared" ca="1" si="4"/>
        <v>12238.47</v>
      </c>
      <c r="M47" s="9">
        <f t="shared" ca="1" si="5"/>
        <v>13598.300000000001</v>
      </c>
      <c r="N47" s="9">
        <f t="shared" ca="1" si="6"/>
        <v>16317.96</v>
      </c>
      <c r="O47" s="9">
        <f t="shared" ca="1" si="7"/>
        <v>84309.459999999992</v>
      </c>
      <c r="P47" s="9">
        <f t="shared" ca="1" si="8"/>
        <v>1011713.5199999999</v>
      </c>
      <c r="Q47" s="9">
        <f t="shared" ca="1" si="9"/>
        <v>20234.270399999998</v>
      </c>
      <c r="R47" s="9">
        <f t="shared" ca="1" si="10"/>
        <v>991479.24959999986</v>
      </c>
      <c r="S47" s="3"/>
    </row>
    <row r="48" spans="3:19">
      <c r="C48" s="10">
        <v>41</v>
      </c>
      <c r="D48" s="11">
        <v>7904</v>
      </c>
      <c r="E48" s="8" t="s">
        <v>67</v>
      </c>
      <c r="F48" s="8" t="s">
        <v>44</v>
      </c>
      <c r="G48" s="12" t="s">
        <v>37</v>
      </c>
      <c r="H48" s="8">
        <f t="shared" ca="1" si="0"/>
        <v>11</v>
      </c>
      <c r="I48" s="8">
        <f t="shared" ca="1" si="1"/>
        <v>122337</v>
      </c>
      <c r="J48" s="9">
        <f t="shared" ca="1" si="2"/>
        <v>2446.7400000000002</v>
      </c>
      <c r="K48" s="9">
        <f t="shared" ca="1" si="3"/>
        <v>6116.85</v>
      </c>
      <c r="L48" s="9">
        <f t="shared" ca="1" si="4"/>
        <v>11010.33</v>
      </c>
      <c r="M48" s="9">
        <f t="shared" ca="1" si="5"/>
        <v>12233.7</v>
      </c>
      <c r="N48" s="9">
        <f t="shared" ca="1" si="6"/>
        <v>14680.439999999999</v>
      </c>
      <c r="O48" s="9">
        <f t="shared" ca="1" si="7"/>
        <v>75848.939999999988</v>
      </c>
      <c r="P48" s="9">
        <f t="shared" ca="1" si="8"/>
        <v>910187.2799999998</v>
      </c>
      <c r="Q48" s="9">
        <f t="shared" ca="1" si="9"/>
        <v>18203.745599999995</v>
      </c>
      <c r="R48" s="9">
        <f t="shared" ca="1" si="10"/>
        <v>891983.53439999977</v>
      </c>
      <c r="S48" s="3"/>
    </row>
    <row r="49" spans="3:19">
      <c r="C49" s="10">
        <v>42</v>
      </c>
      <c r="D49" s="11">
        <v>7905</v>
      </c>
      <c r="E49" s="8" t="s">
        <v>68</v>
      </c>
      <c r="F49" s="8" t="s">
        <v>44</v>
      </c>
      <c r="G49" s="8" t="s">
        <v>44</v>
      </c>
      <c r="H49" s="8">
        <f t="shared" ca="1" si="0"/>
        <v>9</v>
      </c>
      <c r="I49" s="8">
        <f t="shared" ca="1" si="1"/>
        <v>104620</v>
      </c>
      <c r="J49" s="9">
        <f t="shared" ca="1" si="2"/>
        <v>2092.4</v>
      </c>
      <c r="K49" s="9">
        <f t="shared" ca="1" si="3"/>
        <v>5231</v>
      </c>
      <c r="L49" s="9">
        <f t="shared" ca="1" si="4"/>
        <v>9415.7999999999993</v>
      </c>
      <c r="M49" s="9">
        <f t="shared" ca="1" si="5"/>
        <v>10462</v>
      </c>
      <c r="N49" s="9">
        <f t="shared" ca="1" si="6"/>
        <v>12554.4</v>
      </c>
      <c r="O49" s="9">
        <f t="shared" ca="1" si="7"/>
        <v>64864.4</v>
      </c>
      <c r="P49" s="9">
        <f t="shared" ca="1" si="8"/>
        <v>778372.8</v>
      </c>
      <c r="Q49" s="9">
        <f t="shared" ca="1" si="9"/>
        <v>15567.456000000002</v>
      </c>
      <c r="R49" s="9">
        <f t="shared" ca="1" si="10"/>
        <v>762805.34400000004</v>
      </c>
      <c r="S49" s="3"/>
    </row>
    <row r="50" spans="3:19">
      <c r="C50" s="10">
        <v>43</v>
      </c>
      <c r="D50" s="11">
        <v>7906</v>
      </c>
      <c r="E50" s="8" t="s">
        <v>69</v>
      </c>
      <c r="F50" s="8" t="s">
        <v>70</v>
      </c>
      <c r="G50" s="11" t="s">
        <v>26</v>
      </c>
      <c r="H50" s="8">
        <f t="shared" ca="1" si="0"/>
        <v>11</v>
      </c>
      <c r="I50" s="8">
        <f t="shared" ca="1" si="1"/>
        <v>108634</v>
      </c>
      <c r="J50" s="9">
        <f t="shared" ca="1" si="2"/>
        <v>2172.6799999999998</v>
      </c>
      <c r="K50" s="9">
        <f t="shared" ca="1" si="3"/>
        <v>5431.7000000000007</v>
      </c>
      <c r="L50" s="9">
        <f t="shared" ca="1" si="4"/>
        <v>9777.06</v>
      </c>
      <c r="M50" s="9">
        <f t="shared" ca="1" si="5"/>
        <v>10863.400000000001</v>
      </c>
      <c r="N50" s="9">
        <f t="shared" ca="1" si="6"/>
        <v>13036.08</v>
      </c>
      <c r="O50" s="9">
        <f t="shared" ca="1" si="7"/>
        <v>67353.08</v>
      </c>
      <c r="P50" s="9">
        <f t="shared" ca="1" si="8"/>
        <v>808236.96</v>
      </c>
      <c r="Q50" s="9">
        <f t="shared" ca="1" si="9"/>
        <v>16164.7392</v>
      </c>
      <c r="R50" s="9">
        <f t="shared" ca="1" si="10"/>
        <v>792072.22080000001</v>
      </c>
      <c r="S50" s="3"/>
    </row>
    <row r="51" spans="3:19">
      <c r="C51" s="10">
        <v>44</v>
      </c>
      <c r="D51" s="11">
        <v>7907</v>
      </c>
      <c r="E51" s="8" t="s">
        <v>71</v>
      </c>
      <c r="F51" s="8" t="s">
        <v>70</v>
      </c>
      <c r="G51" s="8" t="s">
        <v>44</v>
      </c>
      <c r="H51" s="8">
        <f t="shared" ca="1" si="0"/>
        <v>15</v>
      </c>
      <c r="I51" s="8">
        <f t="shared" ca="1" si="1"/>
        <v>92799</v>
      </c>
      <c r="J51" s="9">
        <f t="shared" ca="1" si="2"/>
        <v>1855.98</v>
      </c>
      <c r="K51" s="9">
        <f t="shared" ca="1" si="3"/>
        <v>4639.95</v>
      </c>
      <c r="L51" s="9">
        <f t="shared" ca="1" si="4"/>
        <v>8351.91</v>
      </c>
      <c r="M51" s="9">
        <f t="shared" ca="1" si="5"/>
        <v>9279.9</v>
      </c>
      <c r="N51" s="9">
        <f t="shared" ca="1" si="6"/>
        <v>11135.88</v>
      </c>
      <c r="O51" s="9">
        <f t="shared" ca="1" si="7"/>
        <v>57535.380000000012</v>
      </c>
      <c r="P51" s="9">
        <f t="shared" ca="1" si="8"/>
        <v>690424.56000000017</v>
      </c>
      <c r="Q51" s="9">
        <f t="shared" ca="1" si="9"/>
        <v>13808.491200000004</v>
      </c>
      <c r="R51" s="9">
        <f t="shared" ca="1" si="10"/>
        <v>676616.06880000012</v>
      </c>
      <c r="S51" s="3"/>
    </row>
    <row r="52" spans="3:19">
      <c r="C52" s="10">
        <v>45</v>
      </c>
      <c r="D52" s="11">
        <v>7908</v>
      </c>
      <c r="E52" s="8" t="s">
        <v>72</v>
      </c>
      <c r="F52" s="8" t="s">
        <v>70</v>
      </c>
      <c r="G52" s="11" t="s">
        <v>26</v>
      </c>
      <c r="H52" s="8">
        <f t="shared" ca="1" si="0"/>
        <v>9</v>
      </c>
      <c r="I52" s="8">
        <f t="shared" ca="1" si="1"/>
        <v>81762</v>
      </c>
      <c r="J52" s="9">
        <f t="shared" ca="1" si="2"/>
        <v>1635.24</v>
      </c>
      <c r="K52" s="9">
        <f t="shared" ca="1" si="3"/>
        <v>4088.1000000000004</v>
      </c>
      <c r="L52" s="9">
        <f t="shared" ca="1" si="4"/>
        <v>7358.58</v>
      </c>
      <c r="M52" s="9">
        <f t="shared" ca="1" si="5"/>
        <v>8176.2000000000007</v>
      </c>
      <c r="N52" s="9">
        <f t="shared" ca="1" si="6"/>
        <v>9811.44</v>
      </c>
      <c r="O52" s="9">
        <f t="shared" ca="1" si="7"/>
        <v>50692.439999999988</v>
      </c>
      <c r="P52" s="9">
        <f t="shared" ca="1" si="8"/>
        <v>608309.2799999998</v>
      </c>
      <c r="Q52" s="9">
        <f t="shared" ca="1" si="9"/>
        <v>12166.185599999995</v>
      </c>
      <c r="R52" s="9">
        <f t="shared" ca="1" si="10"/>
        <v>596143.09439999983</v>
      </c>
      <c r="S52" s="3"/>
    </row>
    <row r="53" spans="3:19">
      <c r="C53" s="10">
        <v>46</v>
      </c>
      <c r="D53" s="11">
        <v>7909</v>
      </c>
      <c r="E53" s="8" t="s">
        <v>73</v>
      </c>
      <c r="F53" s="8" t="s">
        <v>70</v>
      </c>
      <c r="G53" s="12" t="s">
        <v>37</v>
      </c>
      <c r="H53" s="8">
        <f t="shared" ca="1" si="0"/>
        <v>13</v>
      </c>
      <c r="I53" s="8">
        <f t="shared" ca="1" si="1"/>
        <v>102262</v>
      </c>
      <c r="J53" s="9">
        <f t="shared" ca="1" si="2"/>
        <v>2045.24</v>
      </c>
      <c r="K53" s="9">
        <f t="shared" ca="1" si="3"/>
        <v>5113.1000000000004</v>
      </c>
      <c r="L53" s="9">
        <f t="shared" ca="1" si="4"/>
        <v>9203.58</v>
      </c>
      <c r="M53" s="9">
        <f t="shared" ca="1" si="5"/>
        <v>10226.200000000001</v>
      </c>
      <c r="N53" s="9">
        <f t="shared" ca="1" si="6"/>
        <v>12271.439999999999</v>
      </c>
      <c r="O53" s="9">
        <f t="shared" ca="1" si="7"/>
        <v>63402.439999999988</v>
      </c>
      <c r="P53" s="9">
        <f t="shared" ca="1" si="8"/>
        <v>760829.2799999998</v>
      </c>
      <c r="Q53" s="9">
        <f t="shared" ca="1" si="9"/>
        <v>15216.585599999997</v>
      </c>
      <c r="R53" s="9">
        <f t="shared" ca="1" si="10"/>
        <v>745612.6943999998</v>
      </c>
      <c r="S53" s="3"/>
    </row>
    <row r="54" spans="3:19">
      <c r="C54" s="10">
        <v>47</v>
      </c>
      <c r="D54" s="11">
        <v>7910</v>
      </c>
      <c r="E54" s="8" t="s">
        <v>74</v>
      </c>
      <c r="F54" s="8" t="s">
        <v>70</v>
      </c>
      <c r="G54" s="8" t="s">
        <v>34</v>
      </c>
      <c r="H54" s="8">
        <f t="shared" ca="1" si="0"/>
        <v>15</v>
      </c>
      <c r="I54" s="8">
        <f t="shared" ca="1" si="1"/>
        <v>145400</v>
      </c>
      <c r="J54" s="9">
        <f t="shared" ca="1" si="2"/>
        <v>2908</v>
      </c>
      <c r="K54" s="9">
        <f t="shared" ca="1" si="3"/>
        <v>7270</v>
      </c>
      <c r="L54" s="9">
        <f t="shared" ca="1" si="4"/>
        <v>13086</v>
      </c>
      <c r="M54" s="9">
        <f t="shared" ca="1" si="5"/>
        <v>14540</v>
      </c>
      <c r="N54" s="9">
        <f t="shared" ca="1" si="6"/>
        <v>17448</v>
      </c>
      <c r="O54" s="9">
        <f t="shared" ca="1" si="7"/>
        <v>90148</v>
      </c>
      <c r="P54" s="9">
        <f t="shared" ca="1" si="8"/>
        <v>1081776</v>
      </c>
      <c r="Q54" s="9">
        <f t="shared" ca="1" si="9"/>
        <v>21635.52</v>
      </c>
      <c r="R54" s="9">
        <f t="shared" ca="1" si="10"/>
        <v>1060140.48</v>
      </c>
      <c r="S54" s="3"/>
    </row>
    <row r="55" spans="3:19">
      <c r="C55" s="10">
        <v>48</v>
      </c>
      <c r="D55" s="11">
        <v>7911</v>
      </c>
      <c r="E55" s="8" t="s">
        <v>75</v>
      </c>
      <c r="F55" s="8" t="s">
        <v>70</v>
      </c>
      <c r="G55" s="8" t="s">
        <v>34</v>
      </c>
      <c r="H55" s="8">
        <f t="shared" ca="1" si="0"/>
        <v>15</v>
      </c>
      <c r="I55" s="8">
        <f t="shared" ca="1" si="1"/>
        <v>105619</v>
      </c>
      <c r="J55" s="9">
        <f t="shared" ca="1" si="2"/>
        <v>2112.38</v>
      </c>
      <c r="K55" s="9">
        <f t="shared" ca="1" si="3"/>
        <v>5280.9500000000007</v>
      </c>
      <c r="L55" s="9">
        <f t="shared" ca="1" si="4"/>
        <v>9505.7099999999991</v>
      </c>
      <c r="M55" s="9">
        <f t="shared" ca="1" si="5"/>
        <v>10561.900000000001</v>
      </c>
      <c r="N55" s="9">
        <f t="shared" ca="1" si="6"/>
        <v>12674.279999999999</v>
      </c>
      <c r="O55" s="9">
        <f t="shared" ca="1" si="7"/>
        <v>65483.78</v>
      </c>
      <c r="P55" s="9">
        <f t="shared" ca="1" si="8"/>
        <v>785805.36</v>
      </c>
      <c r="Q55" s="9">
        <f t="shared" ca="1" si="9"/>
        <v>15716.1072</v>
      </c>
      <c r="R55" s="9">
        <f t="shared" ca="1" si="10"/>
        <v>770089.25280000002</v>
      </c>
      <c r="S55" s="3"/>
    </row>
    <row r="56" spans="3:19">
      <c r="C56" s="10">
        <v>49</v>
      </c>
      <c r="D56" s="11">
        <v>7912</v>
      </c>
      <c r="E56" s="8" t="s">
        <v>76</v>
      </c>
      <c r="F56" s="8" t="s">
        <v>70</v>
      </c>
      <c r="G56" s="11" t="s">
        <v>26</v>
      </c>
      <c r="H56" s="8">
        <f t="shared" ca="1" si="0"/>
        <v>10</v>
      </c>
      <c r="I56" s="8">
        <f t="shared" ca="1" si="1"/>
        <v>111681</v>
      </c>
      <c r="J56" s="9">
        <f t="shared" ca="1" si="2"/>
        <v>2233.62</v>
      </c>
      <c r="K56" s="9">
        <f t="shared" ca="1" si="3"/>
        <v>5584.05</v>
      </c>
      <c r="L56" s="9">
        <f t="shared" ca="1" si="4"/>
        <v>10051.289999999999</v>
      </c>
      <c r="M56" s="9">
        <f t="shared" ca="1" si="5"/>
        <v>11168.1</v>
      </c>
      <c r="N56" s="9">
        <f t="shared" ca="1" si="6"/>
        <v>13401.72</v>
      </c>
      <c r="O56" s="9">
        <f t="shared" ca="1" si="7"/>
        <v>69242.22</v>
      </c>
      <c r="P56" s="9">
        <f t="shared" ca="1" si="8"/>
        <v>830906.64</v>
      </c>
      <c r="Q56" s="9">
        <f t="shared" ca="1" si="9"/>
        <v>16618.132799999999</v>
      </c>
      <c r="R56" s="9">
        <f t="shared" ca="1" si="10"/>
        <v>814288.50719999999</v>
      </c>
      <c r="S56" s="3"/>
    </row>
    <row r="57" spans="3:19">
      <c r="C57" s="10">
        <v>50</v>
      </c>
      <c r="D57" s="11">
        <v>7913</v>
      </c>
      <c r="E57" s="8" t="s">
        <v>77</v>
      </c>
      <c r="F57" s="8" t="s">
        <v>70</v>
      </c>
      <c r="G57" s="11" t="s">
        <v>26</v>
      </c>
      <c r="H57" s="8">
        <f t="shared" ca="1" si="0"/>
        <v>5</v>
      </c>
      <c r="I57" s="8">
        <f t="shared" ca="1" si="1"/>
        <v>79954</v>
      </c>
      <c r="J57" s="9">
        <f t="shared" ca="1" si="2"/>
        <v>1599.08</v>
      </c>
      <c r="K57" s="9">
        <f t="shared" ca="1" si="3"/>
        <v>3997.7000000000003</v>
      </c>
      <c r="L57" s="9">
        <f t="shared" ca="1" si="4"/>
        <v>7195.86</v>
      </c>
      <c r="M57" s="9">
        <f t="shared" ca="1" si="5"/>
        <v>7995.4000000000005</v>
      </c>
      <c r="N57" s="9">
        <f t="shared" ca="1" si="6"/>
        <v>9594.48</v>
      </c>
      <c r="O57" s="9">
        <f t="shared" ca="1" si="7"/>
        <v>49571.479999999996</v>
      </c>
      <c r="P57" s="9">
        <f t="shared" ca="1" si="8"/>
        <v>594857.76</v>
      </c>
      <c r="Q57" s="9">
        <f t="shared" ca="1" si="9"/>
        <v>11897.155200000001</v>
      </c>
      <c r="R57" s="9">
        <f t="shared" ca="1" si="10"/>
        <v>582960.60479999997</v>
      </c>
      <c r="S57" s="3"/>
    </row>
    <row r="62" spans="3:19" ht="34.5">
      <c r="D62" s="1" t="s">
        <v>0</v>
      </c>
      <c r="E62" s="1" t="s">
        <v>1</v>
      </c>
      <c r="F62" s="1" t="s">
        <v>2</v>
      </c>
      <c r="G62" s="1" t="s">
        <v>3</v>
      </c>
      <c r="H62" s="1" t="s">
        <v>4</v>
      </c>
      <c r="I62" s="2" t="s">
        <v>5</v>
      </c>
      <c r="J62" s="2" t="s">
        <v>6</v>
      </c>
      <c r="K62" s="2" t="s">
        <v>7</v>
      </c>
      <c r="L62" s="2" t="s">
        <v>8</v>
      </c>
      <c r="M62" s="2" t="s">
        <v>9</v>
      </c>
      <c r="N62" s="2" t="s">
        <v>10</v>
      </c>
      <c r="O62" s="2" t="s">
        <v>11</v>
      </c>
      <c r="P62" s="2" t="s">
        <v>12</v>
      </c>
      <c r="Q62" s="2" t="s">
        <v>13</v>
      </c>
      <c r="R62" s="2" t="s">
        <v>14</v>
      </c>
    </row>
    <row r="63" spans="3:19">
      <c r="D63">
        <v>7897</v>
      </c>
      <c r="E63" t="str">
        <f>VLOOKUP(D63,D7:R57,2,0)</f>
        <v>Naseem</v>
      </c>
      <c r="F63" t="str">
        <f>VLOOKUP(D63,D7:R57,3,0)</f>
        <v>Worker</v>
      </c>
      <c r="G63" t="str">
        <f>VLOOKUP(D63,D8:R57,4,0)</f>
        <v>Cleaner</v>
      </c>
      <c r="H63">
        <f ca="1">VLOOKUP(D63,D8:R57,5,0)</f>
        <v>10</v>
      </c>
      <c r="I63">
        <f ca="1">VLOOKUP(D63,D8:R57,6,0)</f>
        <v>108071</v>
      </c>
      <c r="J63">
        <f ca="1">VLOOKUP(D63,D8:R57,7,0)</f>
        <v>2161.42</v>
      </c>
      <c r="K63">
        <f ca="1">VLOOKUP(D63,D8:R57,8,0)</f>
        <v>5403.55</v>
      </c>
      <c r="L63">
        <f ca="1">VLOOKUP(D63,D8:R57,9,0)</f>
        <v>9726.39</v>
      </c>
      <c r="M63">
        <f ca="1">VLOOKUP(D63,D8:R57,10,0)</f>
        <v>10807.1</v>
      </c>
      <c r="N63">
        <f ca="1">VLOOKUP(D63,D8:R57,11,0)</f>
        <v>12968.519999999999</v>
      </c>
      <c r="O63">
        <f ca="1">VLOOKUP(D63,D8:R57,12,0)</f>
        <v>67004.01999999999</v>
      </c>
      <c r="P63">
        <f ca="1">VLOOKUP(D63,D8:R57,13,0)</f>
        <v>804048.23999999987</v>
      </c>
      <c r="Q63">
        <f ca="1">VLOOKUP(D63,D8:R57,14,0)</f>
        <v>16080.964799999998</v>
      </c>
      <c r="R63" s="3">
        <f ca="1">VLOOKUP(D63,D8:R57,15,0)</f>
        <v>787967.27519999992</v>
      </c>
    </row>
  </sheetData>
  <mergeCells count="1">
    <mergeCell ref="C5:O5"/>
  </mergeCells>
  <pageMargins left="0.7" right="0.7" top="0.75" bottom="0.75" header="0.3" footer="0.3"/>
  <pageSetup paperSize="9" scale="4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cp:lastPrinted>2026-04-22T01:16:15Z</cp:lastPrinted>
  <dcterms:created xsi:type="dcterms:W3CDTF">2026-04-22T01:10:36Z</dcterms:created>
  <dcterms:modified xsi:type="dcterms:W3CDTF">2026-04-22T01:22:44Z</dcterms:modified>
</cp:coreProperties>
</file>